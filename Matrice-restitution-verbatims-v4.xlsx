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60" yWindow="-21000" windowWidth="38400" windowHeight="21000" tabRatio="500" firstSheet="0" activeTab="6" autoFilterDateGrouping="1"/>
    <workbookView visibility="visible" minimized="0" showHorizontalScroll="1" showVerticalScroll="1" showSheetTabs="1" xWindow="0" yWindow="660" windowWidth="29400" windowHeight="18460" tabRatio="600" firstSheet="0" activeTab="3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Verbatims" sheetId="4" state="visible" r:id="rId4"/>
    <sheet xmlns:r="http://schemas.openxmlformats.org/officeDocument/2006/relationships" name="Matrice" sheetId="5" state="visible" r:id="rId5"/>
    <sheet xmlns:r="http://schemas.openxmlformats.org/officeDocument/2006/relationships" name="Synthese J-M" sheetId="6" state="visible" r:id="rId6"/>
    <sheet xmlns:r="http://schemas.openxmlformats.org/officeDocument/2006/relationships" name="Saturation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555555"/>
      <sz val="9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Calibri"/>
      <b val="1"/>
      <color rgb="FFFFFFFF"/>
      <sz val="11"/>
    </font>
    <font>
      <name val="Calibri"/>
      <b val="1"/>
      <sz val="11"/>
    </font>
    <font>
      <name val="Arial"/>
      <family val="2"/>
      <color rgb="FF0000FF"/>
      <sz val="10"/>
    </font>
    <font>
      <name val="Arial"/>
      <family val="2"/>
      <sz val="10"/>
    </font>
    <font>
      <name val="Calibri"/>
      <charset val="1"/>
      <family val="2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6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zoomScaleNormal="100" workbookViewId="0">
      <selection activeCell="A1" sqref="A1"/>
    </sheetView>
    <sheetView workbookViewId="1">
      <selection activeCell="A1" sqref="A1"/>
    </sheetView>
  </sheetViews>
  <sheetFormatPr baseColWidth="10" defaultColWidth="8.6640625" defaultRowHeight="15"/>
  <cols>
    <col width="3" customWidth="1" min="1" max="1"/>
    <col width="26" customWidth="1" min="2" max="2"/>
    <col width="92" customWidth="1" min="3" max="3"/>
  </cols>
  <sheetData>
    <row r="2" ht="25.5" customHeight="1">
      <c r="B2" s="1" t="inlineStr">
        <is>
          <t>Matrice de restitution des verbatims</t>
        </is>
      </c>
      <c r="C2" s="2" t="n"/>
    </row>
    <row r="3" ht="15" customHeight="1">
      <c r="B3" s="3" t="inlineStr">
        <is>
          <t>Memoire MAE - Arthur Saunier - Wavestone Luxembourg</t>
        </is>
      </c>
    </row>
    <row r="5" ht="30" customHeight="1">
      <c r="B5" s="4" t="inlineStr">
        <is>
          <t>Principe</t>
        </is>
      </c>
      <c r="C5" s="5" t="inlineStr">
        <is>
          <t>Une seule saisie : l'onglet Verbatims. Tout le reste se calcule automatiquement.</t>
        </is>
      </c>
    </row>
    <row r="6" ht="7.5" customHeight="1">
      <c r="B6" s="4" t="n"/>
      <c r="C6" s="5" t="n"/>
    </row>
    <row r="7" ht="30" customHeight="1">
      <c r="B7" s="4" t="inlineStr">
        <is>
          <t>1. Panel</t>
        </is>
      </c>
      <c r="C7" s="5" t="inlineStr">
        <is>
          <t>Renseigner les repondants avant le premier entretien : code, profil, fonction, date. Les codes de cet onglet alimentent les listes deroulantes et les colonnes de la matrice.</t>
        </is>
      </c>
    </row>
    <row r="8" ht="30" customHeight="1">
      <c r="B8" s="4" t="inlineStr">
        <is>
          <t>2. Codebook</t>
        </is>
      </c>
      <c r="C8" s="5" t="inlineStr">
        <is>
          <t>La grille de codage, adossee aux quatre questions directrices. Les codes E3.x sont ouverts : les intituler au fur et a mesure si un theme non anticipe emerge.</t>
        </is>
      </c>
    </row>
    <row r="9" ht="30" customHeight="1">
      <c r="B9" s="4" t="inlineStr">
        <is>
          <t>3. Verbatims</t>
        </is>
      </c>
      <c r="C9" s="5" t="inlineStr">
        <is>
          <t>Onglet de travail. Une ligne = un segment de sens code. Coller l'extrait, choisir le repondant et le code dans les listes deroulantes. Un meme extrait porteur de deux idees se saisit sur deux lignes.</t>
        </is>
      </c>
    </row>
    <row r="10" ht="30" customHeight="1">
      <c r="B10" s="4" t="inlineStr">
        <is>
          <t>4. Matrice</t>
        </is>
      </c>
      <c r="C10" s="5" t="inlineStr">
        <is>
          <t>Croisement automatique codes x repondants. Lecture en ligne : convergences et clivages du panel. Lecture en colonne : coherence interne du discours d'un repondant.</t>
        </is>
      </c>
    </row>
    <row r="11" ht="30" customHeight="1">
      <c r="B11" s="4" t="inlineStr">
        <is>
          <t>5. Synthese J/M</t>
        </is>
      </c>
      <c r="C11" s="5" t="inlineStr">
        <is>
          <t>Comparaison juniors / managers, code par code. L'ecart signale les points ou le terrain produit un resultat, et alimente directement la section 4.1 du memoire.</t>
        </is>
      </c>
    </row>
    <row r="12" ht="30" customHeight="1">
      <c r="B12" s="4" t="inlineStr">
        <is>
          <t>6. Saturation</t>
        </is>
      </c>
      <c r="C12" s="5" t="inlineStr">
        <is>
          <t>Suivi du nombre de codes nouveaux apportes par chaque entretien. La saturation est atteinte quand un entretien supplementaire n'ajoute plus de code.</t>
        </is>
      </c>
    </row>
    <row r="13" ht="7.5" customHeight="1">
      <c r="B13" s="4" t="n"/>
      <c r="C13" s="5" t="n"/>
    </row>
    <row r="14" ht="30" customHeight="1">
      <c r="B14" s="4" t="inlineStr">
        <is>
          <t>Cellules a saisir</t>
        </is>
      </c>
      <c r="C14" s="5" t="inlineStr">
        <is>
          <t>En bleu. Toutes les autres contiennent des formules : ne pas les ecraser.</t>
        </is>
      </c>
    </row>
    <row r="15" ht="30" customHeight="1">
      <c r="B15" s="4" t="inlineStr">
        <is>
          <t>Anonymisation</t>
        </is>
      </c>
      <c r="C15" s="5" t="inlineStr">
        <is>
          <t>Ne jamais saisir de nom de personne, de client ou de mission. Utiliser [client], [mission], [collegue].</t>
        </is>
      </c>
    </row>
    <row r="16">
      <c r="B16" s="20" t="inlineStr">
        <is>
          <t>Version preremplie</t>
        </is>
      </c>
    </row>
    <row r="17" ht="32" customHeight="1">
      <c r="C17" s="21" t="inlineStr">
        <is>
          <t>Les colonnes Repondant, Verbatim, Contexte et Theme sont deja renseignees a partir des cinq prises de notes. Il ne reste qu'a saisir la colonne C (Code), en s'aidant de la grille de l'onglet Codebook.</t>
        </is>
      </c>
    </row>
    <row r="18" ht="32" customHeight="1">
      <c r="C18" s="21" t="inlineStr">
        <is>
          <t>Un meme segment peut recevoir plusieurs codes : dupliquer la ligne et changer le code. Un segment sans code pertinent : supprimer la ligne.</t>
        </is>
      </c>
    </row>
    <row r="19" ht="32" customHeight="1">
      <c r="C19" s="21" t="inlineStr">
        <is>
          <t>Les noms d'outils commerciaux sont remplaces par des designations generiques entre crochets, conformement a la regle du memoire.</t>
        </is>
      </c>
    </row>
    <row r="20" ht="32" customHeight="1">
      <c r="C20" s="21" t="inlineStr">
        <is>
          <t>Deux lignes marquees ### A COMPLETER signalent des passages du corpus non repris : les remplacer a partir des fichiers interviews/e2.tex et interviews/e3.tex.</t>
        </is>
      </c>
    </row>
    <row r="21" ht="16" customHeight="1">
      <c r="C21" s="21" t="inlineStr">
        <is>
          <t>Ne rien saisir dans les onglets Matrice, Synthese J-M et Saturation : ils se recalculent seuls.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topLeftCell="B1" zoomScale="150" zoomScaleNormal="150" workbookViewId="0">
      <selection activeCell="D9" sqref="D9"/>
    </sheetView>
    <sheetView workbookViewId="1">
      <selection activeCell="A1" sqref="A1"/>
    </sheetView>
  </sheetViews>
  <sheetFormatPr baseColWidth="10" defaultColWidth="8.6640625" defaultRowHeight="15"/>
  <cols>
    <col width="10" customWidth="1" min="1" max="1"/>
    <col width="14" customWidth="1" min="2" max="2"/>
    <col width="26" customWidth="1" min="3" max="3"/>
    <col width="22" customWidth="1" min="4" max="4"/>
    <col width="16" customWidth="1" min="5" max="5"/>
    <col width="12" customWidth="1" min="6" max="6"/>
    <col width="16" customWidth="1" min="7" max="7"/>
    <col width="46" customWidth="1" min="8" max="8"/>
  </cols>
  <sheetData>
    <row r="1" ht="24" customHeight="1">
      <c r="A1" s="1" t="inlineStr">
        <is>
          <t>Panel des repondants</t>
        </is>
      </c>
      <c r="B1" s="2" t="n"/>
      <c r="C1" s="2" t="n"/>
      <c r="D1" s="2" t="n"/>
      <c r="E1" s="2" t="n"/>
      <c r="F1" s="2" t="n"/>
      <c r="G1" s="2" t="n"/>
      <c r="H1" s="2" t="n"/>
    </row>
    <row r="3" ht="30" customHeight="1">
      <c r="A3" s="6" t="inlineStr">
        <is>
          <t>Code</t>
        </is>
      </c>
      <c r="B3" s="6" t="inlineStr">
        <is>
          <t>Profil</t>
        </is>
      </c>
      <c r="C3" s="6" t="inlineStr">
        <is>
          <t>Fonction</t>
        </is>
      </c>
      <c r="D3" s="6" t="inlineStr">
        <is>
          <t>Anciennete conseil (annees)</t>
        </is>
      </c>
      <c r="E3" s="6" t="inlineStr">
        <is>
          <t>Date entretien</t>
        </is>
      </c>
      <c r="F3" s="6" t="inlineStr">
        <is>
          <t>Duree (min)</t>
        </is>
      </c>
      <c r="G3" s="6" t="inlineStr">
        <is>
          <t>Enregistre (O/N)</t>
        </is>
      </c>
      <c r="H3" s="6" t="inlineStr">
        <is>
          <t>Notes de contexte</t>
        </is>
      </c>
    </row>
    <row r="4" ht="15" customHeight="1">
      <c r="A4" s="7" t="inlineStr">
        <is>
          <t>J1</t>
        </is>
      </c>
      <c r="B4" s="7" t="inlineStr">
        <is>
          <t>Junior</t>
        </is>
      </c>
      <c r="C4" s="7" t="inlineStr">
        <is>
          <t>Stagiaire</t>
        </is>
      </c>
      <c r="D4" s="8" t="n">
        <v>0</v>
      </c>
      <c r="E4" s="8" t="n"/>
      <c r="F4" s="8" t="n"/>
      <c r="G4" s="8" t="inlineStr">
        <is>
          <t>N</t>
        </is>
      </c>
      <c r="H4" s="7" t="inlineStr">
        <is>
          <t>5 mois - propales, institutions europeennes</t>
        </is>
      </c>
    </row>
    <row r="5" ht="15" customHeight="1">
      <c r="A5" s="7" t="inlineStr">
        <is>
          <t>J2</t>
        </is>
      </c>
      <c r="B5" s="7" t="inlineStr">
        <is>
          <t>Junior</t>
        </is>
      </c>
      <c r="C5" s="7" t="inlineStr">
        <is>
          <t>Analyste</t>
        </is>
      </c>
      <c r="D5" s="8" t="n">
        <v>0</v>
      </c>
      <c r="E5" s="8" t="n"/>
      <c r="F5" s="8" t="n"/>
      <c r="G5" s="8" t="inlineStr">
        <is>
          <t>N</t>
        </is>
      </c>
      <c r="H5" s="7" t="inlineStr">
        <is>
          <t>6 mois - gestion de crise, appels d offre</t>
        </is>
      </c>
    </row>
    <row r="6" ht="15" customHeight="1">
      <c r="A6" s="7" t="inlineStr">
        <is>
          <t>J3</t>
        </is>
      </c>
      <c r="B6" s="7" t="inlineStr">
        <is>
          <t>Junior</t>
        </is>
      </c>
      <c r="C6" s="7" t="inlineStr">
        <is>
          <t>(non pourvu)</t>
        </is>
      </c>
      <c r="D6" s="8" t="n"/>
      <c r="E6" s="8" t="n"/>
      <c r="F6" s="8" t="n"/>
      <c r="G6" s="8" t="n"/>
      <c r="H6" s="7" t="inlineStr">
        <is>
          <t>Colonne laissee vide</t>
        </is>
      </c>
    </row>
    <row r="7" ht="15" customHeight="1">
      <c r="A7" s="7" t="inlineStr">
        <is>
          <t>J4</t>
        </is>
      </c>
      <c r="B7" s="7" t="inlineStr">
        <is>
          <t>Junior</t>
        </is>
      </c>
      <c r="C7" s="7" t="inlineStr">
        <is>
          <t>(non pourvu)</t>
        </is>
      </c>
      <c r="D7" s="8" t="n"/>
      <c r="E7" s="8" t="n"/>
      <c r="F7" s="8" t="n"/>
      <c r="G7" s="8" t="n"/>
      <c r="H7" s="7" t="inlineStr">
        <is>
          <t>Colonne laissee vide</t>
        </is>
      </c>
    </row>
    <row r="8" ht="15" customHeight="1">
      <c r="A8" s="7" t="inlineStr">
        <is>
          <t>E1</t>
        </is>
      </c>
      <c r="B8" s="7" t="inlineStr">
        <is>
          <t>Encadrant</t>
        </is>
      </c>
      <c r="C8" s="7" t="inlineStr">
        <is>
          <t>Manager</t>
        </is>
      </c>
      <c r="D8" s="8" t="n">
        <v>10</v>
      </c>
      <c r="E8" s="8" t="n"/>
      <c r="F8" s="8" t="n"/>
      <c r="G8" s="8" t="inlineStr">
        <is>
          <t>N</t>
        </is>
      </c>
      <c r="H8" s="7" t="inlineStr">
        <is>
          <t>Banque, assurance, institutions europeennes</t>
        </is>
      </c>
    </row>
    <row r="9" ht="15" customHeight="1">
      <c r="A9" s="7" t="inlineStr">
        <is>
          <t>E2</t>
        </is>
      </c>
      <c r="B9" s="7" t="inlineStr">
        <is>
          <t>Encadrant</t>
        </is>
      </c>
      <c r="C9" s="7" t="inlineStr">
        <is>
          <t>Associate Partner</t>
        </is>
      </c>
      <c r="D9" s="8" t="n">
        <v>25</v>
      </c>
      <c r="E9" s="8" t="n"/>
      <c r="F9" s="8" t="n"/>
      <c r="G9" s="8" t="inlineStr">
        <is>
          <t>N</t>
        </is>
      </c>
      <c r="H9" s="7" t="inlineStr">
        <is>
          <t>Institutions europeennes, sponsor Data &amp; AI</t>
        </is>
      </c>
    </row>
    <row r="10" ht="15" customHeight="1">
      <c r="A10" s="7" t="inlineStr">
        <is>
          <t>E3</t>
        </is>
      </c>
      <c r="B10" s="7" t="inlineStr">
        <is>
          <t>Encadrant</t>
        </is>
      </c>
      <c r="C10" s="7" t="inlineStr">
        <is>
          <t>Consultant senior</t>
        </is>
      </c>
      <c r="D10" s="8" t="n">
        <v>3</v>
      </c>
      <c r="E10" s="8" t="n"/>
      <c r="F10" s="8" t="n"/>
      <c r="G10" s="8" t="inlineStr">
        <is>
          <t>N</t>
        </is>
      </c>
      <c r="H10" s="7" t="inlineStr">
        <is>
          <t>Cybersecurite, institution europeenne</t>
        </is>
      </c>
    </row>
    <row r="11" ht="15" customHeight="1">
      <c r="A11" s="7" t="inlineStr">
        <is>
          <t>E4</t>
        </is>
      </c>
      <c r="B11" s="7" t="inlineStr">
        <is>
          <t>Encadrant</t>
        </is>
      </c>
      <c r="C11" s="7" t="inlineStr">
        <is>
          <t>(non pourvu)</t>
        </is>
      </c>
      <c r="D11" s="8" t="n"/>
      <c r="E11" s="8" t="n"/>
      <c r="F11" s="8" t="n"/>
      <c r="G11" s="8" t="n"/>
      <c r="H11" s="7" t="inlineStr">
        <is>
          <t>Colonne laissee vide</t>
        </is>
      </c>
    </row>
    <row r="13" ht="15" customHeight="1">
      <c r="A13" s="3" t="inlineStr">
        <is>
          <t>Profils : Junior (analyste, consultant) / Encadrant (du consultant senior a l'associe).</t>
        </is>
      </c>
    </row>
    <row r="14" ht="15" customHeight="1">
      <c r="A14" s="3" t="inlineStr">
        <is>
          <t>Les deux positions correspondent aux deux côtés du dispositif de revue : qui rédige, qui contrôle.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topLeftCell="A25" zoomScaleNormal="100" workbookViewId="0">
      <selection activeCell="A1" sqref="A1"/>
    </sheetView>
    <sheetView topLeftCell="A61" workbookViewId="1">
      <selection activeCell="C38" sqref="C38"/>
    </sheetView>
  </sheetViews>
  <sheetFormatPr baseColWidth="10" defaultColWidth="8.6640625" defaultRowHeight="15"/>
  <cols>
    <col width="10" customWidth="1" min="1" max="1"/>
    <col width="34" customWidth="1" min="2" max="2"/>
    <col width="62" customWidth="1" min="3" max="3"/>
    <col width="30" customWidth="1" min="4" max="4"/>
    <col width="34" customWidth="1" min="5" max="5"/>
  </cols>
  <sheetData>
    <row r="1" ht="24" customHeight="1">
      <c r="A1" s="1" t="inlineStr">
        <is>
          <t>Grille d'analyse thematique</t>
        </is>
      </c>
      <c r="B1" s="2" t="n"/>
      <c r="C1" s="2" t="n"/>
      <c r="D1" s="2" t="n"/>
      <c r="E1" s="2" t="n"/>
    </row>
    <row r="3" ht="27.75" customHeight="1">
      <c r="A3" s="6" t="inlineStr">
        <is>
          <t>Code</t>
        </is>
      </c>
      <c r="B3" s="6" t="inlineStr">
        <is>
          <t>Intitule</t>
        </is>
      </c>
      <c r="C3" s="6" t="inlineStr">
        <is>
          <t>Definition / critere d'affectation</t>
        </is>
      </c>
      <c r="D3" s="6" t="inlineStr">
        <is>
          <t>Question directrice</t>
        </is>
      </c>
      <c r="E3" s="6" t="inlineStr">
        <is>
          <t>Ancrage theorique</t>
        </is>
      </c>
    </row>
    <row r="4" ht="15" customHeight="1">
      <c r="A4" s="9" t="inlineStr">
        <is>
          <t>Axe A</t>
        </is>
      </c>
      <c r="B4" s="9" t="inlineStr">
        <is>
          <t>Appropriation des outils dans le travail d'analyse</t>
        </is>
      </c>
      <c r="C4" s="10" t="n"/>
      <c r="D4" s="10" t="n"/>
      <c r="E4" s="10" t="n"/>
    </row>
    <row r="5" ht="23.25" customHeight="1">
      <c r="A5" s="11" t="inlineStr">
        <is>
          <t>A1.1</t>
        </is>
      </c>
      <c r="B5" s="12" t="inlineStr">
        <is>
          <t>Recherche et veille</t>
        </is>
      </c>
      <c r="C5" s="12" t="inlineStr">
        <is>
          <t>Delegation de la recherche documentaire, reglementaire ou sectorielle</t>
        </is>
      </c>
      <c r="D5" s="12" t="inlineStr">
        <is>
          <t>QD1 - Appropriation reelle</t>
        </is>
      </c>
      <c r="E5" s="12" t="inlineStr">
        <is>
          <t>Sociologie des usages ; TAM (Davis, 1989)</t>
        </is>
      </c>
    </row>
    <row r="6" ht="23.25" customHeight="1">
      <c r="A6" s="11" t="inlineStr">
        <is>
          <t>A1.2</t>
        </is>
      </c>
      <c r="B6" s="12" t="inlineStr">
        <is>
          <t>Synthese et reformulation</t>
        </is>
      </c>
      <c r="C6" s="12" t="inlineStr">
        <is>
          <t>Condensation ou reecriture d'un materiau existant</t>
        </is>
      </c>
      <c r="D6" s="12" t="inlineStr">
        <is>
          <t>QD1 - Appropriation reelle</t>
        </is>
      </c>
      <c r="E6" s="12" t="inlineStr">
        <is>
          <t>Sociologie des usages ; TAM (Davis, 1989)</t>
        </is>
      </c>
    </row>
    <row r="7" ht="23.25" customHeight="1">
      <c r="A7" s="11" t="inlineStr">
        <is>
          <t>A1.3</t>
        </is>
      </c>
      <c r="B7" s="12" t="inlineStr">
        <is>
          <t>Premiere redaction</t>
        </is>
      </c>
      <c r="C7" s="12" t="inlineStr">
        <is>
          <t>Production d'un premier jet de livrable ou de section</t>
        </is>
      </c>
      <c r="D7" s="12" t="inlineStr">
        <is>
          <t>QD1 - Appropriation reelle</t>
        </is>
      </c>
      <c r="E7" s="12" t="inlineStr">
        <is>
          <t>Sociologie des usages ; TAM (Davis, 1989)</t>
        </is>
      </c>
    </row>
    <row r="8" ht="23.25" customHeight="1">
      <c r="A8" s="11" t="inlineStr">
        <is>
          <t>A1.4</t>
        </is>
      </c>
      <c r="B8" s="12" t="inlineStr">
        <is>
          <t>Traduction et mise en forme</t>
        </is>
      </c>
      <c r="C8" s="12" t="inlineStr">
        <is>
          <t>Travail linguistique ou formel sans production analytique</t>
        </is>
      </c>
      <c r="D8" s="12" t="inlineStr">
        <is>
          <t>QD1 - Appropriation reelle</t>
        </is>
      </c>
      <c r="E8" s="12" t="inlineStr">
        <is>
          <t>Sociologie des usages ; TAM (Davis, 1989)</t>
        </is>
      </c>
    </row>
    <row r="9" ht="23.25" customHeight="1">
      <c r="A9" s="11" t="inlineStr">
        <is>
          <t>A1.5</t>
        </is>
      </c>
      <c r="B9" s="12" t="inlineStr">
        <is>
          <t>Structuration du raisonnement</t>
        </is>
      </c>
      <c r="C9" s="12" t="inlineStr">
        <is>
          <t>Aide a la construction d'un plan ou d'une problematique</t>
        </is>
      </c>
      <c r="D9" s="12" t="inlineStr">
        <is>
          <t>QD1 - Appropriation reelle</t>
        </is>
      </c>
      <c r="E9" s="12" t="inlineStr">
        <is>
          <t>Sociologie des usages ; TAM (Davis, 1989)</t>
        </is>
      </c>
    </row>
    <row r="10" ht="23.25" customHeight="1">
      <c r="A10" s="11" t="inlineStr">
        <is>
          <t>A2.1</t>
        </is>
      </c>
      <c r="B10" s="12" t="inlineStr">
        <is>
          <t>Sanctuarisation - confidentialite</t>
        </is>
      </c>
      <c r="C10" s="12" t="inlineStr">
        <is>
          <t>Tache non deleguee en raison de la sensibilite des donnees</t>
        </is>
      </c>
      <c r="D10" s="12" t="inlineStr">
        <is>
          <t>QD1 - Appropriation reelle</t>
        </is>
      </c>
      <c r="E10" s="12" t="inlineStr">
        <is>
          <t>Sociologie des usages ; TAM (Davis, 1989)</t>
        </is>
      </c>
    </row>
    <row r="11" ht="23.25" customHeight="1">
      <c r="A11" s="11" t="inlineStr">
        <is>
          <t>A2.2</t>
        </is>
      </c>
      <c r="B11" s="12" t="inlineStr">
        <is>
          <t>Sanctuarisation - jugement</t>
        </is>
      </c>
      <c r="C11" s="12" t="inlineStr">
        <is>
          <t>Tache non deleguee car jugee exiger un jugement professionnel</t>
        </is>
      </c>
      <c r="D11" s="12" t="inlineStr">
        <is>
          <t>QD1 - Appropriation reelle</t>
        </is>
      </c>
      <c r="E11" s="12" t="inlineStr">
        <is>
          <t>Sociologie des usages ; TAM (Davis, 1989)</t>
        </is>
      </c>
    </row>
    <row r="12" ht="23.25" customHeight="1">
      <c r="A12" s="11" t="inlineStr">
        <is>
          <t>A2.3</t>
        </is>
      </c>
      <c r="B12" s="12" t="inlineStr">
        <is>
          <t>Sanctuarisation - relation</t>
        </is>
      </c>
      <c r="C12" s="12" t="inlineStr">
        <is>
          <t>Tache non deleguee car relevant de l'interaction client</t>
        </is>
      </c>
      <c r="D12" s="12" t="inlineStr">
        <is>
          <t>QD1 - Appropriation reelle</t>
        </is>
      </c>
      <c r="E12" s="12" t="inlineStr">
        <is>
          <t>Sociologie des usages ; TAM (Davis, 1989)</t>
        </is>
      </c>
    </row>
    <row r="13" ht="23.25" customHeight="1">
      <c r="A13" s="11" t="inlineStr">
        <is>
          <t>A3.1</t>
        </is>
      </c>
      <c r="B13" s="12" t="inlineStr">
        <is>
          <t>Apprentissage autonome</t>
        </is>
      </c>
      <c r="C13" s="12" t="inlineStr">
        <is>
          <t>Montee en competence sur l'outil par essai personnel</t>
        </is>
      </c>
      <c r="D13" s="12" t="inlineStr">
        <is>
          <t>QD1 - Appropriation reelle</t>
        </is>
      </c>
      <c r="E13" s="12" t="inlineStr">
        <is>
          <t>Sociologie des usages ; TAM (Davis, 1989)</t>
        </is>
      </c>
    </row>
    <row r="14" ht="23.25" customHeight="1">
      <c r="A14" s="11" t="inlineStr">
        <is>
          <t>A3.2</t>
        </is>
      </c>
      <c r="B14" s="12" t="inlineStr">
        <is>
          <t>Transmission entre pairs</t>
        </is>
      </c>
      <c r="C14" s="12" t="inlineStr">
        <is>
          <t>Apprentissage horizontal, informel, au sein de l'equipe</t>
        </is>
      </c>
      <c r="D14" s="12" t="inlineStr">
        <is>
          <t>QD1 - Appropriation reelle</t>
        </is>
      </c>
      <c r="E14" s="12" t="inlineStr">
        <is>
          <t>Sociologie des usages ; TAM (Davis, 1989)</t>
        </is>
      </c>
    </row>
    <row r="15" ht="23.25" customHeight="1">
      <c r="A15" s="11" t="inlineStr">
        <is>
          <t>A3.3</t>
        </is>
      </c>
      <c r="B15" s="12" t="inlineStr">
        <is>
          <t>Formation institutionnelle</t>
        </is>
      </c>
      <c r="C15" s="12" t="inlineStr">
        <is>
          <t>Dispositif de formation porte par le cabinet</t>
        </is>
      </c>
      <c r="D15" s="12" t="inlineStr">
        <is>
          <t>QD1 - Appropriation reelle</t>
        </is>
      </c>
      <c r="E15" s="12" t="inlineStr">
        <is>
          <t>Sociologie des usages ; TAM (Davis, 1989)</t>
        </is>
      </c>
    </row>
    <row r="16" ht="23.25" customHeight="1">
      <c r="A16" s="11" t="inlineStr">
        <is>
          <t>A4.1</t>
        </is>
      </c>
      <c r="B16" s="12" t="inlineStr">
        <is>
          <t>Utilite percue</t>
        </is>
      </c>
      <c r="C16" s="12" t="inlineStr">
        <is>
          <t>Benefice attendu exprime en termes de performance (TAM)</t>
        </is>
      </c>
      <c r="D16" s="12" t="inlineStr">
        <is>
          <t>QD1 - Appropriation reelle</t>
        </is>
      </c>
      <c r="E16" s="12" t="inlineStr">
        <is>
          <t>Sociologie des usages ; TAM (Davis, 1989)</t>
        </is>
      </c>
    </row>
    <row r="17" ht="23.25" customHeight="1">
      <c r="A17" s="11" t="inlineStr">
        <is>
          <t>A4.2</t>
        </is>
      </c>
      <c r="B17" s="12" t="inlineStr">
        <is>
          <t>Facilite d'usage percue</t>
        </is>
      </c>
      <c r="C17" s="12" t="inlineStr">
        <is>
          <t>Effort d'usage exprime comme faible ou eleve (TAM)</t>
        </is>
      </c>
      <c r="D17" s="12" t="inlineStr">
        <is>
          <t>QD1 - Appropriation reelle</t>
        </is>
      </c>
      <c r="E17" s="12" t="inlineStr">
        <is>
          <t>Sociologie des usages ; TAM (Davis, 1989)</t>
        </is>
      </c>
    </row>
    <row r="18" ht="23.25" customHeight="1">
      <c r="A18" s="11" t="inlineStr">
        <is>
          <t>A4.3</t>
        </is>
      </c>
      <c r="B18" s="12" t="inlineStr">
        <is>
          <t>Resistance ou evitement</t>
        </is>
      </c>
      <c r="C18" s="12" t="inlineStr">
        <is>
          <t>Refus, reticence ou abandon declare de l'outil</t>
        </is>
      </c>
      <c r="D18" s="12" t="inlineStr">
        <is>
          <t>QD1 - Appropriation reelle</t>
        </is>
      </c>
      <c r="E18" s="12" t="inlineStr">
        <is>
          <t>Sociologie des usages ; TAM (Davis, 1989)</t>
        </is>
      </c>
    </row>
    <row r="19" ht="23.25" customHeight="1">
      <c r="A19" s="11" t="inlineStr">
        <is>
          <t>A4.4</t>
        </is>
      </c>
      <c r="B19" s="12" t="inlineStr">
        <is>
          <t>Contournement outille</t>
        </is>
      </c>
      <c r="C19" s="12" t="inlineStr">
        <is>
          <t>Recours a un outil personnel hors du cadre officiel</t>
        </is>
      </c>
      <c r="D19" s="12" t="inlineStr">
        <is>
          <t>QD1 - Appropriation reelle</t>
        </is>
      </c>
      <c r="E19" s="12" t="inlineStr">
        <is>
          <t>Sociologie des usages ; TAM (Davis, 1989)</t>
        </is>
      </c>
    </row>
    <row r="20" ht="15" customHeight="1">
      <c r="A20" s="9" t="inlineStr">
        <is>
          <t>Axe B</t>
        </is>
      </c>
      <c r="B20" s="9" t="inlineStr">
        <is>
          <t>Apprentissage, competences et transmission</t>
        </is>
      </c>
      <c r="C20" s="10" t="n"/>
      <c r="D20" s="10" t="n"/>
      <c r="E20" s="10" t="n"/>
    </row>
    <row r="21" ht="23.25" customHeight="1">
      <c r="A21" s="11" t="inlineStr">
        <is>
          <t>B1.1</t>
        </is>
      </c>
      <c r="B21" s="12" t="inlineStr">
        <is>
          <t>Vertu formatrice reconnue</t>
        </is>
      </c>
      <c r="C21" s="12" t="inlineStr">
        <is>
          <t>Tache ingrate decrite comme pedagogiquement necessaire</t>
        </is>
      </c>
      <c r="D21" s="12" t="inlineStr">
        <is>
          <t>QD2 - Impact sur les competences</t>
        </is>
      </c>
      <c r="E21" s="12" t="inlineStr">
        <is>
          <t>Polanyi (1966) ; Nonaka &amp; Takeuchi (1995)</t>
        </is>
      </c>
    </row>
    <row r="22" ht="23.25" customHeight="1">
      <c r="A22" s="11" t="inlineStr">
        <is>
          <t>B1.2</t>
        </is>
      </c>
      <c r="B22" s="12" t="inlineStr">
        <is>
          <t>Vertu formatrice deniee</t>
        </is>
      </c>
      <c r="C22" s="12" t="inlineStr">
        <is>
          <t>Tache ingrate decrite comme sans apport d'apprentissage</t>
        </is>
      </c>
      <c r="D22" s="12" t="inlineStr">
        <is>
          <t>QD2 - Impact sur les competences</t>
        </is>
      </c>
      <c r="E22" s="12" t="inlineStr">
        <is>
          <t>Polanyi (1966) ; Nonaka &amp; Takeuchi (1995)</t>
        </is>
      </c>
    </row>
    <row r="23" ht="23.25" customHeight="1">
      <c r="A23" s="11" t="inlineStr">
        <is>
          <t>B2.1</t>
        </is>
      </c>
      <c r="B23" s="12" t="inlineStr">
        <is>
          <t>Acceleration de la montee en competence</t>
        </is>
      </c>
      <c r="C23" s="12" t="inlineStr">
        <is>
          <t>Progression jugee plus rapide grace a l'outil</t>
        </is>
      </c>
      <c r="D23" s="12" t="inlineStr">
        <is>
          <t>QD2 - Impact sur les competences</t>
        </is>
      </c>
      <c r="E23" s="12" t="inlineStr">
        <is>
          <t>Polanyi (1966) ; Nonaka &amp; Takeuchi (1995)</t>
        </is>
      </c>
    </row>
    <row r="24" ht="23.25" customHeight="1">
      <c r="A24" s="11" t="inlineStr">
        <is>
          <t>B2.2</t>
        </is>
      </c>
      <c r="B24" s="12" t="inlineStr">
        <is>
          <t>Atrophie du raisonnement</t>
        </is>
      </c>
      <c r="C24" s="12" t="inlineStr">
        <is>
          <t>Perte declaree ou observee de capacite d'analyse autonome</t>
        </is>
      </c>
      <c r="D24" s="12" t="inlineStr">
        <is>
          <t>QD2 - Impact sur les competences</t>
        </is>
      </c>
      <c r="E24" s="12" t="inlineStr">
        <is>
          <t>Polanyi (1966) ; Nonaka &amp; Takeuchi (1995)</t>
        </is>
      </c>
    </row>
    <row r="25" ht="23.25" customHeight="1">
      <c r="A25" s="11" t="inlineStr">
        <is>
          <t>B2.3</t>
        </is>
      </c>
      <c r="B25" s="12" t="inlineStr">
        <is>
          <t>Verification comme competence</t>
        </is>
      </c>
      <c r="C25" s="12" t="inlineStr">
        <is>
          <t>Emergence du controle critique comme savoir-faire propre</t>
        </is>
      </c>
      <c r="D25" s="12" t="inlineStr">
        <is>
          <t>QD2 - Impact sur les competences</t>
        </is>
      </c>
      <c r="E25" s="12" t="inlineStr">
        <is>
          <t>Polanyi (1966) ; Nonaka &amp; Takeuchi (1995)</t>
        </is>
      </c>
    </row>
    <row r="26" ht="23.25" customHeight="1">
      <c r="A26" s="11" t="inlineStr">
        <is>
          <t>B3.1</t>
        </is>
      </c>
      <c r="B26" s="12" t="inlineStr">
        <is>
          <t>Relecture senior formatrice</t>
        </is>
      </c>
      <c r="C26" s="12" t="inlineStr">
        <is>
          <t>La revue hierarchique decrite comme moment de transmission</t>
        </is>
      </c>
      <c r="D26" s="12" t="inlineStr">
        <is>
          <t>QD2 - Impact sur les competences</t>
        </is>
      </c>
      <c r="E26" s="12" t="inlineStr">
        <is>
          <t>Polanyi (1966) ; Nonaka &amp; Takeuchi (1995)</t>
        </is>
      </c>
    </row>
    <row r="27" ht="23.25" customHeight="1">
      <c r="A27" s="11" t="inlineStr">
        <is>
          <t>B3.2</t>
        </is>
      </c>
      <c r="B27" s="12" t="inlineStr">
        <is>
          <t>Appauvrissement de l'interaction</t>
        </is>
      </c>
      <c r="C27" s="12" t="inlineStr">
        <is>
          <t>Reduction des echanges junior-senior imputee a l'outil</t>
        </is>
      </c>
      <c r="D27" s="12" t="inlineStr">
        <is>
          <t>QD2 - Impact sur les competences</t>
        </is>
      </c>
      <c r="E27" s="12" t="inlineStr">
        <is>
          <t>Polanyi (1966) ; Nonaka &amp; Takeuchi (1995)</t>
        </is>
      </c>
    </row>
    <row r="28" ht="23.25" customHeight="1">
      <c r="A28" s="11" t="inlineStr">
        <is>
          <t>B3.3</t>
        </is>
      </c>
      <c r="B28" s="12" t="inlineStr">
        <is>
          <t>Compagnonnage preserve</t>
        </is>
      </c>
      <c r="C28" s="12" t="inlineStr">
        <is>
          <t>Maintien affirme des mecanismes traditionnels de socialisation</t>
        </is>
      </c>
      <c r="D28" s="12" t="inlineStr">
        <is>
          <t>QD2 - Impact sur les competences</t>
        </is>
      </c>
      <c r="E28" s="12" t="inlineStr">
        <is>
          <t>Polanyi (1966) ; Nonaka &amp; Takeuchi (1995)</t>
        </is>
      </c>
    </row>
    <row r="29" ht="23.25" customHeight="1">
      <c r="A29" s="11" t="inlineStr">
        <is>
          <t>B4.1</t>
        </is>
      </c>
      <c r="B29" s="12" t="inlineStr">
        <is>
          <t>Dependance declaree</t>
        </is>
      </c>
      <c r="C29" s="12" t="inlineStr">
        <is>
          <t>Difficulte exprimee a travailler sans l'outil</t>
        </is>
      </c>
      <c r="D29" s="12" t="inlineStr">
        <is>
          <t>QD2 - Impact sur les competences</t>
        </is>
      </c>
      <c r="E29" s="12" t="inlineStr">
        <is>
          <t>Polanyi (1966) ; Nonaka &amp; Takeuchi (1995)</t>
        </is>
      </c>
    </row>
    <row r="30" ht="23.25" customHeight="1">
      <c r="A30" s="11" t="inlineStr">
        <is>
          <t>B4.2</t>
        </is>
      </c>
      <c r="B30" s="12" t="inlineStr">
        <is>
          <t>Validation sans maitrise</t>
        </is>
      </c>
      <c r="C30" s="12" t="inlineStr">
        <is>
          <t>Approbation d'un contenu que le repondant ne saurait produire</t>
        </is>
      </c>
      <c r="D30" s="12" t="inlineStr">
        <is>
          <t>QD2 - Impact sur les competences</t>
        </is>
      </c>
      <c r="E30" s="12" t="inlineStr">
        <is>
          <t>Polanyi (1966) ; Nonaka &amp; Takeuchi (1995)</t>
        </is>
      </c>
    </row>
    <row r="31" ht="15" customHeight="1">
      <c r="A31" s="9" t="inlineStr">
        <is>
          <t>Axe C</t>
        </is>
      </c>
      <c r="B31" s="9" t="inlineStr">
        <is>
          <t>Legitimite de l'expert et relation client</t>
        </is>
      </c>
      <c r="C31" s="10" t="n"/>
      <c r="D31" s="10" t="n"/>
      <c r="E31" s="10" t="n"/>
    </row>
    <row r="32" ht="15" customHeight="1">
      <c r="A32" s="11" t="inlineStr">
        <is>
          <t>C1.1</t>
        </is>
      </c>
      <c r="B32" s="12" t="inlineStr">
        <is>
          <t>Legitimite cognitive</t>
        </is>
      </c>
      <c r="C32" s="12" t="inlineStr">
        <is>
          <t>Confiance fondee sur l'expertise et la maitrise du domaine</t>
        </is>
      </c>
      <c r="D32" s="12" t="inlineStr">
        <is>
          <t>QD3 - Legitimite de l'expert</t>
        </is>
      </c>
      <c r="E32" s="12" t="inlineStr">
        <is>
          <t>Abbott (1988) ; Suchman (1995)</t>
        </is>
      </c>
    </row>
    <row r="33" ht="15" customHeight="1">
      <c r="A33" s="11" t="inlineStr">
        <is>
          <t>C1.2</t>
        </is>
      </c>
      <c r="B33" s="12" t="inlineStr">
        <is>
          <t>Legitimite pragmatique</t>
        </is>
      </c>
      <c r="C33" s="12" t="inlineStr">
        <is>
          <t>Confiance fondee sur l'utilite et le resultat obtenu</t>
        </is>
      </c>
      <c r="D33" s="12" t="inlineStr">
        <is>
          <t>QD3 - Legitimite de l'expert</t>
        </is>
      </c>
      <c r="E33" s="12" t="inlineStr">
        <is>
          <t>Abbott (1988) ; Suchman (1995)</t>
        </is>
      </c>
    </row>
    <row r="34" ht="15" customHeight="1">
      <c r="A34" s="11" t="inlineStr">
        <is>
          <t>C1.3</t>
        </is>
      </c>
      <c r="B34" s="12" t="inlineStr">
        <is>
          <t>Legitimite morale</t>
        </is>
      </c>
      <c r="C34" s="12" t="inlineStr">
        <is>
          <t>Confiance fondee sur la responsabilite assumee et la deontologie</t>
        </is>
      </c>
      <c r="D34" s="12" t="inlineStr">
        <is>
          <t>QD3 - Legitimite de l'expert</t>
        </is>
      </c>
      <c r="E34" s="12" t="inlineStr">
        <is>
          <t>Abbott (1988) ; Suchman (1995)</t>
        </is>
      </c>
    </row>
    <row r="35" ht="15" customHeight="1">
      <c r="A35" s="11" t="inlineStr">
        <is>
          <t>C2.1</t>
        </is>
      </c>
      <c r="B35" s="12" t="inlineStr">
        <is>
          <t>Transparence assumee</t>
        </is>
      </c>
      <c r="C35" s="12" t="inlineStr">
        <is>
          <t>Usage de l'outil declare au client</t>
        </is>
      </c>
      <c r="D35" s="12" t="inlineStr">
        <is>
          <t>QD3 - Legitimite de l'expert</t>
        </is>
      </c>
      <c r="E35" s="12" t="inlineStr">
        <is>
          <t>Abbott (1988) ; Suchman (1995)</t>
        </is>
      </c>
    </row>
    <row r="36" ht="15" customHeight="1">
      <c r="A36" s="11" t="inlineStr">
        <is>
          <t>C2.2</t>
        </is>
      </c>
      <c r="B36" s="12" t="inlineStr">
        <is>
          <t>Opacite strategique</t>
        </is>
      </c>
      <c r="C36" s="12" t="inlineStr">
        <is>
          <t>Usage deliberement non declare</t>
        </is>
      </c>
      <c r="D36" s="12" t="inlineStr">
        <is>
          <t>QD3 - Legitimite de l'expert</t>
        </is>
      </c>
      <c r="E36" s="12" t="inlineStr">
        <is>
          <t>Abbott (1988) ; Suchman (1995)</t>
        </is>
      </c>
    </row>
    <row r="37" ht="15" customHeight="1">
      <c r="A37" s="11" t="inlineStr">
        <is>
          <t>C2.3</t>
        </is>
      </c>
      <c r="B37" s="12" t="inlineStr">
        <is>
          <t>Interpellation par le client</t>
        </is>
      </c>
      <c r="C37" s="12" t="inlineStr">
        <is>
          <t>Le client souleve lui-meme la question de l'usage</t>
        </is>
      </c>
      <c r="D37" s="12" t="inlineStr">
        <is>
          <t>QD3 - Legitimite de l'expert</t>
        </is>
      </c>
      <c r="E37" s="12" t="inlineStr">
        <is>
          <t>Abbott (1988) ; Suchman (1995)</t>
        </is>
      </c>
    </row>
    <row r="38" ht="15" customHeight="1">
      <c r="A38" s="11" t="inlineStr">
        <is>
          <t>C3.1</t>
        </is>
      </c>
      <c r="B38" s="12" t="inlineStr">
        <is>
          <t>Deplacement vers le jugement</t>
        </is>
      </c>
      <c r="C38" s="12" t="inlineStr">
        <is>
          <t>Valeur du cabinet redefinie autour du sens critique</t>
        </is>
      </c>
      <c r="D38" s="12" t="inlineStr">
        <is>
          <t>QD3 - Legitimite de l'expert</t>
        </is>
      </c>
      <c r="E38" s="12" t="inlineStr">
        <is>
          <t>Abbott (1988) ; Suchman (1995)</t>
        </is>
      </c>
    </row>
    <row r="39" ht="15" customHeight="1">
      <c r="A39" s="11" t="inlineStr">
        <is>
          <t>C3.2</t>
        </is>
      </c>
      <c r="B39" s="12" t="inlineStr">
        <is>
          <t>Deplacement vers la responsabilite</t>
        </is>
      </c>
      <c r="C39" s="12" t="inlineStr">
        <is>
          <t>Valeur du cabinet redefinie autour de l'engagement pris</t>
        </is>
      </c>
      <c r="D39" s="12" t="inlineStr">
        <is>
          <t>QD3 - Legitimite de l'expert</t>
        </is>
      </c>
      <c r="E39" s="12" t="inlineStr">
        <is>
          <t>Abbott (1988) ; Suchman (1995)</t>
        </is>
      </c>
    </row>
    <row r="40" ht="15" customHeight="1">
      <c r="A40" s="11" t="inlineStr">
        <is>
          <t>C3.3</t>
        </is>
      </c>
      <c r="B40" s="12" t="inlineStr">
        <is>
          <t>Menace de desintermediation</t>
        </is>
      </c>
      <c r="C40" s="12" t="inlineStr">
        <is>
          <t>Crainte que le client produise l'analyse par lui-meme</t>
        </is>
      </c>
      <c r="D40" s="12" t="inlineStr">
        <is>
          <t>QD3 - Legitimite de l'expert</t>
        </is>
      </c>
      <c r="E40" s="12" t="inlineStr">
        <is>
          <t>Abbott (1988) ; Suchman (1995)</t>
        </is>
      </c>
    </row>
    <row r="41" ht="15" customHeight="1">
      <c r="A41" s="11" t="inlineStr">
        <is>
          <t>C4.1</t>
        </is>
      </c>
      <c r="B41" s="12" t="inlineStr">
        <is>
          <t>Tension sur le modele tarifaire</t>
        </is>
      </c>
      <c r="C41" s="12" t="inlineStr">
        <is>
          <t>Remise en cause de la facturation au temps passe</t>
        </is>
      </c>
      <c r="D41" s="12" t="inlineStr">
        <is>
          <t>QD3 - Legitimite de l'expert</t>
        </is>
      </c>
      <c r="E41" s="12" t="inlineStr">
        <is>
          <t>Abbott (1988) ; Suchman (1995)</t>
        </is>
      </c>
    </row>
    <row r="42" ht="15" customHeight="1">
      <c r="A42" s="9" t="inlineStr">
        <is>
          <t>Axe D</t>
        </is>
      </c>
      <c r="B42" s="9" t="inlineStr">
        <is>
          <t>Gouvernance, controle qualite et risques</t>
        </is>
      </c>
      <c r="C42" s="10" t="n"/>
      <c r="D42" s="10" t="n"/>
      <c r="E42" s="10" t="n"/>
    </row>
    <row r="43" ht="23.25" customHeight="1">
      <c r="A43" s="11" t="inlineStr">
        <is>
          <t>D1.1</t>
        </is>
      </c>
      <c r="B43" s="12" t="inlineStr">
        <is>
          <t>Regle formelle connue</t>
        </is>
      </c>
      <c r="C43" s="12" t="inlineStr">
        <is>
          <t>Reference a une politique explicite du cabinet</t>
        </is>
      </c>
      <c r="D43" s="12" t="inlineStr">
        <is>
          <t>QD4 - Gouvernance et risques</t>
        </is>
      </c>
      <c r="E43" s="12" t="inlineStr">
        <is>
          <t>Mintzberg (1982) ; gouvernance des risques</t>
        </is>
      </c>
    </row>
    <row r="44" ht="23.25" customHeight="1">
      <c r="A44" s="11" t="inlineStr">
        <is>
          <t>D1.2</t>
        </is>
      </c>
      <c r="B44" s="12" t="inlineStr">
        <is>
          <t>Norme informelle</t>
        </is>
      </c>
      <c r="C44" s="12" t="inlineStr">
        <is>
          <t>Regle d'equipe non ecrite, transmise oralement</t>
        </is>
      </c>
      <c r="D44" s="12" t="inlineStr">
        <is>
          <t>QD4 - Gouvernance et risques</t>
        </is>
      </c>
      <c r="E44" s="12" t="inlineStr">
        <is>
          <t>Mintzberg (1982) ; gouvernance des risques</t>
        </is>
      </c>
    </row>
    <row r="45" ht="23.25" customHeight="1">
      <c r="A45" s="11" t="inlineStr">
        <is>
          <t>D1.3</t>
        </is>
      </c>
      <c r="B45" s="12" t="inlineStr">
        <is>
          <t>Flou normatif</t>
        </is>
      </c>
      <c r="C45" s="12" t="inlineStr">
        <is>
          <t>Meconnaissance ou incertitude sur le cadre applicable</t>
        </is>
      </c>
      <c r="D45" s="12" t="inlineStr">
        <is>
          <t>QD4 - Gouvernance et risques</t>
        </is>
      </c>
      <c r="E45" s="12" t="inlineStr">
        <is>
          <t>Mintzberg (1982) ; gouvernance des risques</t>
        </is>
      </c>
    </row>
    <row r="46" ht="23.25" customHeight="1">
      <c r="A46" s="11" t="inlineStr">
        <is>
          <t>D2.1</t>
        </is>
      </c>
      <c r="B46" s="12" t="inlineStr">
        <is>
          <t>Revue hierarchique</t>
        </is>
      </c>
      <c r="C46" s="12" t="inlineStr">
        <is>
          <t>Controle du livrable par un niveau superieur</t>
        </is>
      </c>
      <c r="D46" s="12" t="inlineStr">
        <is>
          <t>QD4 - Gouvernance et risques</t>
        </is>
      </c>
      <c r="E46" s="12" t="inlineStr">
        <is>
          <t>Mintzberg (1982) ; gouvernance des risques</t>
        </is>
      </c>
    </row>
    <row r="47" ht="23.25" customHeight="1">
      <c r="A47" s="11" t="inlineStr">
        <is>
          <t>D2.2</t>
        </is>
      </c>
      <c r="B47" s="12" t="inlineStr">
        <is>
          <t>Verification des sources</t>
        </is>
      </c>
      <c r="C47" s="12" t="inlineStr">
        <is>
          <t>Controle specifique de la veracite du contenu produit</t>
        </is>
      </c>
      <c r="D47" s="12" t="inlineStr">
        <is>
          <t>QD4 - Gouvernance et risques</t>
        </is>
      </c>
      <c r="E47" s="12" t="inlineStr">
        <is>
          <t>Mintzberg (1982) ; gouvernance des risques</t>
        </is>
      </c>
    </row>
    <row r="48" ht="23.25" customHeight="1">
      <c r="A48" s="11" t="inlineStr">
        <is>
          <t>D2.3</t>
        </is>
      </c>
      <c r="B48" s="12" t="inlineStr">
        <is>
          <t>Absence de controle dedie</t>
        </is>
      </c>
      <c r="C48" s="12" t="inlineStr">
        <is>
          <t>Aucun dispositif specifique au contenu genere</t>
        </is>
      </c>
      <c r="D48" s="12" t="inlineStr">
        <is>
          <t>QD4 - Gouvernance et risques</t>
        </is>
      </c>
      <c r="E48" s="12" t="inlineStr">
        <is>
          <t>Mintzberg (1982) ; gouvernance des risques</t>
        </is>
      </c>
    </row>
    <row r="49" ht="23.25" customHeight="1">
      <c r="A49" s="11" t="inlineStr">
        <is>
          <t>D3.1</t>
        </is>
      </c>
      <c r="B49" s="12" t="inlineStr">
        <is>
          <t>Hallucination detectee</t>
        </is>
      </c>
      <c r="C49" s="12" t="inlineStr">
        <is>
          <t>Incident avere de contenu errone identifie a temps</t>
        </is>
      </c>
      <c r="D49" s="12" t="inlineStr">
        <is>
          <t>QD4 - Gouvernance et risques</t>
        </is>
      </c>
      <c r="E49" s="12" t="inlineStr">
        <is>
          <t>Mintzberg (1982) ; gouvernance des risques</t>
        </is>
      </c>
    </row>
    <row r="50" ht="23.25" customHeight="1">
      <c r="A50" s="11" t="inlineStr">
        <is>
          <t>D3.2</t>
        </is>
      </c>
      <c r="B50" s="12" t="inlineStr">
        <is>
          <t>Quasi-incident</t>
        </is>
      </c>
      <c r="C50" s="12" t="inlineStr">
        <is>
          <t>Erreur passee pres d'atteindre le client</t>
        </is>
      </c>
      <c r="D50" s="12" t="inlineStr">
        <is>
          <t>QD4 - Gouvernance et risques</t>
        </is>
      </c>
      <c r="E50" s="12" t="inlineStr">
        <is>
          <t>Mintzberg (1982) ; gouvernance des risques</t>
        </is>
      </c>
    </row>
    <row r="51" ht="23.25" customHeight="1">
      <c r="A51" s="11" t="inlineStr">
        <is>
          <t>D3.3</t>
        </is>
      </c>
      <c r="B51" s="12" t="inlineStr">
        <is>
          <t>Enjeu de confidentialite</t>
        </is>
      </c>
      <c r="C51" s="12" t="inlineStr">
        <is>
          <t>Risque de divulgation de donnees de mission</t>
        </is>
      </c>
      <c r="D51" s="12" t="inlineStr">
        <is>
          <t>QD4 - Gouvernance et risques</t>
        </is>
      </c>
      <c r="E51" s="12" t="inlineStr">
        <is>
          <t>Mintzberg (1982) ; gouvernance des risques</t>
        </is>
      </c>
    </row>
    <row r="52" ht="23.25" customHeight="1">
      <c r="A52" s="11" t="inlineStr">
        <is>
          <t>D4.1</t>
        </is>
      </c>
      <c r="B52" s="12" t="inlineStr">
        <is>
          <t>Attribution de responsabilite</t>
        </is>
      </c>
      <c r="C52" s="12" t="inlineStr">
        <is>
          <t>Designation de qui repond de l'erreur</t>
        </is>
      </c>
      <c r="D52" s="12" t="inlineStr">
        <is>
          <t>QD4 - Gouvernance et risques</t>
        </is>
      </c>
      <c r="E52" s="12" t="inlineStr">
        <is>
          <t>Mintzberg (1982) ; gouvernance des risques</t>
        </is>
      </c>
    </row>
    <row r="53" ht="23.25" customHeight="1">
      <c r="A53" s="11" t="inlineStr">
        <is>
          <t>D5.1</t>
        </is>
      </c>
      <c r="B53" s="12" t="inlineStr">
        <is>
          <t>Regle percue comme bridante</t>
        </is>
      </c>
      <c r="C53" s="12" t="inlineStr">
        <is>
          <t>Cadre juge contraignant au regard du travail reel</t>
        </is>
      </c>
      <c r="D53" s="12" t="inlineStr">
        <is>
          <t>QD4 - Gouvernance et risques</t>
        </is>
      </c>
      <c r="E53" s="12" t="inlineStr">
        <is>
          <t>Mintzberg (1982) ; gouvernance des risques</t>
        </is>
      </c>
    </row>
    <row r="54" ht="23.25" customHeight="1">
      <c r="A54" s="11" t="inlineStr">
        <is>
          <t>D5.2</t>
        </is>
      </c>
      <c r="B54" s="12" t="inlineStr">
        <is>
          <t>Demande de cadrage</t>
        </is>
      </c>
      <c r="C54" s="12" t="inlineStr">
        <is>
          <t>Souhait exprime d'un encadrement plus explicite</t>
        </is>
      </c>
      <c r="D54" s="12" t="inlineStr">
        <is>
          <t>QD4 - Gouvernance et risques</t>
        </is>
      </c>
      <c r="E54" s="12" t="inlineStr">
        <is>
          <t>Mintzberg (1982) ; gouvernance des risques</t>
        </is>
      </c>
    </row>
    <row r="55" ht="15" customHeight="1">
      <c r="A55" s="9" t="inlineStr">
        <is>
          <t>Axe T</t>
        </is>
      </c>
      <c r="B55" s="9" t="inlineStr">
        <is>
          <t>Codes transversaux et emergents</t>
        </is>
      </c>
      <c r="C55" s="10" t="n"/>
      <c r="D55" s="10" t="n"/>
      <c r="E55" s="10" t="n"/>
    </row>
    <row r="56" ht="15" customHeight="1">
      <c r="A56" s="11" t="inlineStr">
        <is>
          <t>T1.1</t>
        </is>
      </c>
      <c r="B56" s="12" t="inlineStr">
        <is>
          <t>Ecart discours-pratique</t>
        </is>
      </c>
      <c r="C56" s="12" t="inlineStr">
        <is>
          <t>Contradiction interne entre position declaree et pratique decrite</t>
        </is>
      </c>
      <c r="D56" s="12" t="inlineStr">
        <is>
          <t>Transversal</t>
        </is>
      </c>
      <c r="E56" s="12" t="inlineStr">
        <is>
          <t>---</t>
        </is>
      </c>
    </row>
    <row r="57" ht="15" customHeight="1">
      <c r="A57" s="11" t="inlineStr">
        <is>
          <t>T1.2</t>
        </is>
      </c>
      <c r="B57" s="12" t="inlineStr">
        <is>
          <t>Ecart junior-encadrant</t>
        </is>
      </c>
      <c r="C57" s="12" t="inlineStr">
        <is>
          <t>Divergence de perception entre les deux positions sur un meme objet</t>
        </is>
      </c>
      <c r="D57" s="12" t="inlineStr">
        <is>
          <t>Transversal</t>
        </is>
      </c>
      <c r="E57" s="12" t="inlineStr">
        <is>
          <t>---</t>
        </is>
      </c>
    </row>
    <row r="58" ht="15" customHeight="1">
      <c r="A58" s="11" t="inlineStr">
        <is>
          <t>T2.1</t>
        </is>
      </c>
      <c r="B58" s="12" t="inlineStr">
        <is>
          <t>Prospective du metier</t>
        </is>
      </c>
      <c r="C58" s="12" t="inlineStr">
        <is>
          <t>Projection sur l'evolution du conseil a moyen terme</t>
        </is>
      </c>
      <c r="D58" s="12" t="inlineStr">
        <is>
          <t>Transversal</t>
        </is>
      </c>
      <c r="E58" s="12" t="inlineStr">
        <is>
          <t>---</t>
        </is>
      </c>
    </row>
    <row r="59" ht="15" customHeight="1">
      <c r="A59" s="11" t="inlineStr">
        <is>
          <t>T2.2</t>
        </is>
      </c>
      <c r="B59" s="12" t="inlineStr">
        <is>
          <t>Recommandation spontanee</t>
        </is>
      </c>
      <c r="C59" s="12" t="inlineStr">
        <is>
          <t>Proposition d'action formulee par le repondant</t>
        </is>
      </c>
      <c r="D59" s="12" t="inlineStr">
        <is>
          <t>Transversal</t>
        </is>
      </c>
      <c r="E59" s="12" t="inlineStr">
        <is>
          <t>---</t>
        </is>
      </c>
    </row>
    <row r="60" ht="15" customHeight="1">
      <c r="A60" s="11" t="inlineStr">
        <is>
          <t>T3.1</t>
        </is>
      </c>
      <c r="B60" s="12" t="inlineStr">
        <is>
          <t>Le non-dit interne</t>
        </is>
      </c>
      <c r="C60" s="12" t="inlineStr">
        <is>
          <t>Usage de l'outil passe sous silence entre collegues, independamment du client</t>
        </is>
      </c>
      <c r="D60" s="12" t="inlineStr">
        <is>
          <t>Transversal</t>
        </is>
      </c>
      <c r="E60" s="12" t="inlineStr">
        <is>
          <t>---</t>
        </is>
      </c>
    </row>
    <row r="61" ht="15" customHeight="1">
      <c r="A61" s="11" t="inlineStr">
        <is>
          <t>T3.2</t>
        </is>
      </c>
      <c r="B61" s="12" t="inlineStr">
        <is>
          <t>L'incident declencheur de controle</t>
        </is>
      </c>
      <c r="C61" s="12" t="inlineStr">
        <is>
          <t>Modification d'une pratique de revue consecutive a une erreur vecue</t>
        </is>
      </c>
      <c r="D61" s="12" t="inlineStr">
        <is>
          <t>Transversal</t>
        </is>
      </c>
      <c r="E61" s="12" t="inlineStr">
        <is>
          <t>---</t>
        </is>
      </c>
    </row>
    <row r="62" ht="15" customHeight="1">
      <c r="A62" s="11" t="inlineStr">
        <is>
          <t>T3.3</t>
        </is>
      </c>
      <c r="B62" s="25" t="inlineStr">
        <is>
          <t>Avantage commercial</t>
        </is>
      </c>
      <c r="C62" s="25" t="inlineStr">
        <is>
          <t>Utilisation de l'IA amène à un avantage sur le marché</t>
        </is>
      </c>
      <c r="D62" s="12" t="inlineStr">
        <is>
          <t>Transversal</t>
        </is>
      </c>
      <c r="E62" s="12" t="inlineStr">
        <is>
          <t>---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7"/>
  <sheetViews>
    <sheetView showGridLines="0" topLeftCell="A154" zoomScaleNormal="100" workbookViewId="0">
      <selection activeCell="F199" sqref="F199"/>
    </sheetView>
    <sheetView tabSelected="1" topLeftCell="A127" workbookViewId="1">
      <selection activeCell="C150" sqref="C150"/>
    </sheetView>
  </sheetViews>
  <sheetFormatPr baseColWidth="10" defaultColWidth="8.6640625" defaultRowHeight="15"/>
  <cols>
    <col width="13" customWidth="1" min="1" max="2"/>
    <col width="10" customWidth="1" min="3" max="3"/>
    <col width="30" customWidth="1" min="4" max="4"/>
    <col width="145" bestFit="1" customWidth="1" min="5" max="5"/>
    <col width="30" customWidth="1" min="6" max="6"/>
    <col width="34" customWidth="1" min="7" max="7"/>
    <col width="14" customWidth="1" min="8" max="8"/>
  </cols>
  <sheetData>
    <row r="1" ht="24" customHeight="1">
      <c r="A1" s="1" t="inlineStr">
        <is>
          <t>Corpus code - onglet de saisie</t>
        </is>
      </c>
      <c r="B1" s="2" t="n"/>
      <c r="C1" s="2" t="n"/>
      <c r="D1" s="2" t="n"/>
      <c r="E1" s="2" t="n"/>
      <c r="F1" s="2" t="n"/>
      <c r="G1" s="2" t="n"/>
    </row>
    <row r="2" ht="15" customHeight="1">
      <c r="A2" s="3" t="inlineStr">
        <is>
          <t>Une ligne = un segment de sens. Colonnes bleues a saisir ; la colonne Profil se calcule.</t>
        </is>
      </c>
    </row>
    <row r="4" ht="27.75" customHeight="1">
      <c r="A4" s="6" t="inlineStr">
        <is>
          <t>Repondant</t>
        </is>
      </c>
      <c r="B4" s="6" t="inlineStr">
        <is>
          <t>Profil</t>
        </is>
      </c>
      <c r="C4" s="6" t="inlineStr">
        <is>
          <t>Code</t>
        </is>
      </c>
      <c r="D4" s="6" t="inlineStr">
        <is>
          <t>Intitule du code</t>
        </is>
      </c>
      <c r="E4" s="6" t="inlineStr">
        <is>
          <t>Verbatim (anonymise)</t>
        </is>
      </c>
      <c r="F4" s="6" t="inlineStr">
        <is>
          <t>Contexte / mission evoquee</t>
        </is>
      </c>
      <c r="G4" s="6" t="inlineStr">
        <is>
          <t>Remarque d'analyse</t>
        </is>
      </c>
      <c r="H4" s="22" t="inlineStr">
        <is>
          <t>Theme (repere)</t>
        </is>
      </c>
    </row>
    <row r="5" ht="23.25" customHeight="1">
      <c r="A5" s="7" t="inlineStr">
        <is>
          <t>J1</t>
        </is>
      </c>
      <c r="B5" s="12">
        <f>IFERROR(INDEX(Panel!$B$4:$B$11,MATCH($A5,Panel!$A$4:$A$11,0)),"")</f>
        <v/>
      </c>
      <c r="C5" s="7" t="inlineStr">
        <is>
          <t>A1.5</t>
        </is>
      </c>
      <c r="D5" s="12">
        <f>IFERROR(INDEX(Codebook!$B$4:$B$62,MATCH($C5,Codebook!$A$4:$A$62,0)),"")</f>
        <v/>
      </c>
      <c r="E5" s="7" t="inlineStr">
        <is>
          <t>Semaine dernière. Propale. 10 slides sur sujet que maîtrisais moyennement. [Outil homologué] direct dans PPT. Demandé structure titres/sous-parties sur 3 docs.</t>
        </is>
      </c>
      <c r="F5" s="7" t="inlineStr">
        <is>
          <t>Propale</t>
        </is>
      </c>
      <c r="G5" s="7" t="n"/>
      <c r="H5" t="inlineStr">
        <is>
          <t>T1</t>
        </is>
      </c>
    </row>
    <row r="6" ht="15" customHeight="1">
      <c r="A6" s="7" t="inlineStr">
        <is>
          <t>J1</t>
        </is>
      </c>
      <c r="B6" s="12">
        <f>IFERROR(INDEX(Panel!$B$4:$B$11,MATCH($A6,Panel!$A$4:$A$11,0)),"")</f>
        <v/>
      </c>
      <c r="C6" s="7" t="inlineStr">
        <is>
          <t>A4.1</t>
        </is>
      </c>
      <c r="D6" s="12">
        <f>IFERROR(INDEX(Codebook!$B$4:$B$62,MATCH($C6,Codebook!$A$4:$A$62,0)),"")</f>
        <v/>
      </c>
      <c r="E6" s="7" t="inlineStr">
        <is>
          <t>5 min contre 1h à tout relire. Après, j'ai repris chaque slide. Contenu générique mais squelette sympa. J'ai mis la viande autour.</t>
        </is>
      </c>
      <c r="F6" s="7" t="inlineStr">
        <is>
          <t>Propale</t>
        </is>
      </c>
      <c r="G6" s="7" t="n"/>
      <c r="H6" t="inlineStr">
        <is>
          <t>T1</t>
        </is>
      </c>
    </row>
    <row r="7" ht="15" customHeight="1">
      <c r="A7" s="7" t="inlineStr">
        <is>
          <t>J1</t>
        </is>
      </c>
      <c r="B7" s="12">
        <f>IFERROR(INDEX(Panel!$B$4:$B$11,MATCH($A7,Panel!$A$4:$A$11,0)),"")</f>
        <v/>
      </c>
      <c r="C7" s="7" t="inlineStr">
        <is>
          <t>A1.2</t>
        </is>
      </c>
      <c r="D7" s="12">
        <f>IFERROR(INDEX(Codebook!$B$4:$B$62,MATCH($C7,Codebook!$A$4:$A$62,0)),"")</f>
        <v/>
      </c>
      <c r="E7" s="7" t="inlineStr">
        <is>
          <t>Tout le temps : reformulation. Notes réunion fouillis -&gt; « rends-moi structuré ». Là-dessus c'est un tueur.</t>
        </is>
      </c>
      <c r="F7" s="7" t="n"/>
      <c r="G7" s="7" t="n"/>
      <c r="H7" t="inlineStr">
        <is>
          <t>T1</t>
        </is>
      </c>
    </row>
    <row r="8" ht="15" customHeight="1">
      <c r="A8" s="7" t="inlineStr">
        <is>
          <t>J1</t>
        </is>
      </c>
      <c r="B8" s="12">
        <f>IFERROR(INDEX(Panel!$B$4:$B$11,MATCH($A8,Panel!$A$4:$A$11,0)),"")</f>
        <v/>
      </c>
      <c r="C8" s="7" t="inlineStr">
        <is>
          <t>A1.4</t>
        </is>
      </c>
      <c r="D8" s="12">
        <f>IFERROR(INDEX(Codebook!$B$4:$B$62,MATCH($C8,Codebook!$A$4:$A$62,0)),"")</f>
        <v/>
      </c>
      <c r="E8" s="7" t="inlineStr">
        <is>
          <t>Traductions aussi. Anglais/français.</t>
        </is>
      </c>
      <c r="F8" s="7" t="n"/>
      <c r="G8" s="7" t="n"/>
      <c r="H8" t="inlineStr">
        <is>
          <t>T1</t>
        </is>
      </c>
    </row>
    <row r="9" ht="15" customHeight="1">
      <c r="A9" s="7" t="inlineStr">
        <is>
          <t>J1</t>
        </is>
      </c>
      <c r="B9" s="12">
        <f>IFERROR(INDEX(Panel!$B$4:$B$11,MATCH($A9,Panel!$A$4:$A$11,0)),"")</f>
        <v/>
      </c>
      <c r="C9" s="7" t="inlineStr">
        <is>
          <t>A2.1</t>
        </is>
      </c>
      <c r="D9" s="12">
        <f>IFERROR(INDEX(Codebook!$B$4:$B$62,MATCH($C9,Codebook!$A$4:$A$62,0)),"")</f>
        <v/>
      </c>
      <c r="E9" s="7" t="inlineStr">
        <is>
          <t>Jamais sur slides avec données chiffrées confidentielles. Dealbreaker.</t>
        </is>
      </c>
      <c r="F9" s="7" t="n"/>
      <c r="G9" s="7" t="n"/>
      <c r="H9" t="inlineStr">
        <is>
          <t>T1</t>
        </is>
      </c>
    </row>
    <row r="10" ht="15" customHeight="1">
      <c r="A10" s="7" t="inlineStr">
        <is>
          <t>J1</t>
        </is>
      </c>
      <c r="B10" s="12">
        <f>IFERROR(INDEX(Panel!$B$4:$B$11,MATCH($A10,Panel!$A$4:$A$11,0)),"")</f>
        <v/>
      </c>
      <c r="C10" s="7" t="inlineStr">
        <is>
          <t>A3.1</t>
        </is>
      </c>
      <c r="D10" s="12">
        <f>IFERROR(INDEX(Codebook!$B$4:$B$62,MATCH($C10,Codebook!$A$4:$A$62,0)),"")</f>
        <v/>
      </c>
      <c r="E10" s="7" t="inlineStr">
        <is>
          <t>Seul. Pas de formation. Webinaire récent mais j'étais en mission. Testé, trifouillé.</t>
        </is>
      </c>
      <c r="F10" s="7" t="n"/>
      <c r="G10" s="7" t="n"/>
      <c r="H10" t="inlineStr">
        <is>
          <t>T1</t>
        </is>
      </c>
    </row>
    <row r="11" ht="15" customHeight="1">
      <c r="A11" s="7" t="inlineStr">
        <is>
          <t>J1</t>
        </is>
      </c>
      <c r="B11" s="12">
        <f>IFERROR(INDEX(Panel!$B$4:$B$11,MATCH($A11,Panel!$A$4:$A$11,0)),"")</f>
        <v/>
      </c>
      <c r="C11" s="7" t="inlineStr">
        <is>
          <t>A3.1</t>
        </is>
      </c>
      <c r="D11" s="12">
        <f>IFERROR(INDEX(Codebook!$B$4:$B$62,MATCH($C11,Codebook!$A$4:$A$62,0)),"")</f>
        <v/>
      </c>
      <c r="E11" s="7" t="inlineStr">
        <is>
          <t>Suivi progrès : mars quasi rien, texte brut moche. Mai actions sans styling. Récemment diapos entières en un prompt. Changé en 3 mois.</t>
        </is>
      </c>
      <c r="F11" s="7" t="n"/>
      <c r="G11" s="7" t="n"/>
      <c r="H11" t="inlineStr">
        <is>
          <t>T1</t>
        </is>
      </c>
    </row>
    <row r="12" ht="15" customHeight="1">
      <c r="A12" s="7" t="inlineStr">
        <is>
          <t>J1</t>
        </is>
      </c>
      <c r="B12" s="12">
        <f>IFERROR(INDEX(Panel!$B$4:$B$11,MATCH($A12,Panel!$A$4:$A$11,0)),"")</f>
        <v/>
      </c>
      <c r="C12" s="7" t="inlineStr">
        <is>
          <t>A4.1</t>
        </is>
      </c>
      <c r="D12" s="12">
        <f>IFERROR(INDEX(Codebook!$B$4:$B$62,MATCH($C12,Codebook!$A$4:$A$62,0)),"")</f>
        <v/>
      </c>
      <c r="E12" s="7" t="inlineStr">
        <is>
          <t>Propale, gagné 2h. Utilisées pour relire 3x le doc. Vérifier ancrage client.</t>
        </is>
      </c>
      <c r="F12" s="7" t="inlineStr">
        <is>
          <t>Propale</t>
        </is>
      </c>
      <c r="G12" s="7" t="n"/>
      <c r="H12" t="inlineStr">
        <is>
          <t>T1</t>
        </is>
      </c>
    </row>
    <row r="13" ht="15" customHeight="1">
      <c r="A13" s="7" t="inlineStr">
        <is>
          <t>J1</t>
        </is>
      </c>
      <c r="B13" s="12">
        <f>IFERROR(INDEX(Panel!$B$4:$B$11,MATCH($A13,Panel!$A$4:$A$11,0)),"")</f>
        <v/>
      </c>
      <c r="C13" s="7" t="inlineStr">
        <is>
          <t>A4.1</t>
        </is>
      </c>
      <c r="D13" s="12">
        <f>IFERROR(INDEX(Codebook!$B$4:$B$62,MATCH($C13,Codebook!$A$4:$A$62,0)),"")</f>
        <v/>
      </c>
      <c r="E13" s="7" t="inlineStr">
        <is>
          <t>Permet de passer + de temps sur qualité fond, moins forme/squelette. Contre-intuitif, mais fait mieux sur l'essentiel.</t>
        </is>
      </c>
      <c r="F13" s="7" t="n"/>
      <c r="G13" s="7" t="n"/>
      <c r="H13" t="inlineStr">
        <is>
          <t>T1</t>
        </is>
      </c>
    </row>
    <row r="14" ht="15" customHeight="1">
      <c r="A14" s="7" t="inlineStr">
        <is>
          <t>J1</t>
        </is>
      </c>
      <c r="B14" s="12">
        <f>IFERROR(INDEX(Panel!$B$4:$B$11,MATCH($A14,Panel!$A$4:$A$11,0)),"")</f>
        <v/>
      </c>
      <c r="C14" s="7" t="inlineStr">
        <is>
          <t>D3.1</t>
        </is>
      </c>
      <c r="D14" s="12">
        <f>IFERROR(INDEX(Codebook!$B$4:$B$62,MATCH($C14,Codebook!$A$4:$A$62,0)),"")</f>
        <v/>
      </c>
      <c r="E14" s="7" t="inlineStr">
        <is>
          <t>Sujet hyper technique, règlementation bancaire. Texte vague, presque juste, refs à directives inexistantes.</t>
        </is>
      </c>
      <c r="F14" s="7" t="n"/>
      <c r="G14" s="7" t="n"/>
      <c r="H14" t="inlineStr">
        <is>
          <t>T1</t>
        </is>
      </c>
    </row>
    <row r="15" ht="15" customHeight="1">
      <c r="A15" s="7" t="inlineStr">
        <is>
          <t>J1</t>
        </is>
      </c>
      <c r="B15" s="12">
        <f>IFERROR(INDEX(Panel!$B$4:$B$11,MATCH($A15,Panel!$A$4:$A$11,0)),"")</f>
        <v/>
      </c>
      <c r="C15" s="7" t="inlineStr">
        <is>
          <t>A4.3</t>
        </is>
      </c>
      <c r="D15" s="12">
        <f>IFERROR(INDEX(Codebook!$B$4:$B$62,MATCH($C15,Codebook!$A$4:$A$62,0)),"")</f>
        <v/>
      </c>
      <c r="E15" s="7" t="inlineStr">
        <is>
          <t>20 min à reformuler prompts, rien. Réécrit 15 min. Depuis, trop pointu sans sources, je fais direct.</t>
        </is>
      </c>
      <c r="F15" s="7" t="n"/>
      <c r="G15" s="7" t="n"/>
      <c r="H15" t="inlineStr">
        <is>
          <t>T1</t>
        </is>
      </c>
    </row>
    <row r="16" ht="15" customHeight="1">
      <c r="A16" s="7" t="inlineStr">
        <is>
          <t>J1</t>
        </is>
      </c>
      <c r="B16" s="12">
        <f>IFERROR(INDEX(Panel!$B$4:$B$11,MATCH($A16,Panel!$A$4:$A$11,0)),"")</f>
        <v/>
      </c>
      <c r="C16" s="7" t="inlineStr">
        <is>
          <t>A3.2</t>
        </is>
      </c>
      <c r="D16" s="12">
        <f>IFERROR(INDEX(Codebook!$B$4:$B$62,MATCH($C16,Codebook!$A$4:$A$62,0)),"")</f>
        <v/>
      </c>
      <c r="E16" s="7" t="inlineStr">
        <is>
          <t>Entre stagiaires/juniors, oui. Prompts, astuces.</t>
        </is>
      </c>
      <c r="F16" s="7" t="n"/>
      <c r="G16" s="7" t="n"/>
      <c r="H16" t="inlineStr">
        <is>
          <t>T1</t>
        </is>
      </c>
    </row>
    <row r="17" ht="15" customHeight="1">
      <c r="A17" s="7" t="inlineStr">
        <is>
          <t>J1</t>
        </is>
      </c>
      <c r="B17" s="12">
        <f>IFERROR(INDEX(Panel!$B$4:$B$11,MATCH($A17,Panel!$A$4:$A$11,0)),"")</f>
        <v/>
      </c>
      <c r="C17" s="7" t="inlineStr">
        <is>
          <t>T3.1</t>
        </is>
      </c>
      <c r="D17" s="12">
        <f>IFERROR(INDEX(Codebook!$B$4:$B$62,MATCH($C17,Codebook!$A$4:$A$62,0)),"")</f>
        <v/>
      </c>
      <c r="E17" s="7" t="inlineStr">
        <is>
          <t>Avec seniors, plus discret. Pas dire « j'ai utilisé [l'outil] » au manager. Non-dit. Tout le monde l'utilise, personne le dit. Peur qu'on nous dise « tu réfléchis plus ».</t>
        </is>
      </c>
      <c r="F17" s="7" t="n"/>
      <c r="G17" s="7" t="n"/>
      <c r="H17" t="inlineStr">
        <is>
          <t>T1</t>
        </is>
      </c>
    </row>
    <row r="18" ht="15" customHeight="1">
      <c r="A18" s="7" t="inlineStr">
        <is>
          <t>J1</t>
        </is>
      </c>
      <c r="B18" s="12">
        <f>IFERROR(INDEX(Panel!$B$4:$B$11,MATCH($A18,Panel!$A$4:$A$11,0)),"")</f>
        <v/>
      </c>
      <c r="C18" s="7" t="inlineStr">
        <is>
          <t>B2.2</t>
        </is>
      </c>
      <c r="D18" s="12">
        <f>IFERROR(INDEX(Codebook!$B$4:$B$62,MATCH($C18,Codebook!$A$4:$A$62,0)),"")</f>
        <v/>
      </c>
      <c r="E18" s="7" t="inlineStr">
        <is>
          <t>Différent. Notes/CR plus vite, mais pas sûr d'apprendre la même chose.</t>
        </is>
      </c>
      <c r="F18" s="7" t="n"/>
      <c r="G18" s="7" t="n"/>
      <c r="H18" t="inlineStr">
        <is>
          <t>T2</t>
        </is>
      </c>
    </row>
    <row r="19" ht="15" customHeight="1">
      <c r="A19" s="7" t="inlineStr">
        <is>
          <t>J1</t>
        </is>
      </c>
      <c r="B19" s="12">
        <f>IFERROR(INDEX(Panel!$B$4:$B$11,MATCH($A19,Panel!$A$4:$A$11,0)),"")</f>
        <v/>
      </c>
      <c r="C19" s="7" t="inlineStr">
        <is>
          <t>B2.2</t>
        </is>
      </c>
      <c r="D19" s="12">
        <f>IFERROR(INDEX(Codebook!$B$4:$B$62,MATCH($C19,Codebook!$A$4:$A$62,0)),"")</f>
        <v/>
      </c>
      <c r="E19" s="7" t="inlineStr">
        <is>
          <t>Avant : trier, reformuler. Maintenant : colle notes, « structure-moi ». Gagne temps, mais n'exerce pas synthèse. Plus « relecteur » que « rédacteur ».</t>
        </is>
      </c>
      <c r="F19" s="7" t="n"/>
      <c r="G19" s="7" t="n"/>
      <c r="H19" t="inlineStr">
        <is>
          <t>T2</t>
        </is>
      </c>
    </row>
    <row r="20" ht="15" customHeight="1">
      <c r="A20" s="7" t="inlineStr">
        <is>
          <t>J1</t>
        </is>
      </c>
      <c r="B20" s="12">
        <f>IFERROR(INDEX(Panel!$B$4:$B$11,MATCH($A20,Panel!$A$4:$A$11,0)),"")</f>
        <v/>
      </c>
      <c r="C20" s="7" t="inlineStr">
        <is>
          <t>B3.1</t>
        </is>
      </c>
      <c r="D20" s="12">
        <f>IFERROR(INDEX(Codebook!$B$4:$B$62,MATCH($C20,Codebook!$A$4:$A$62,0)),"")</f>
        <v/>
      </c>
      <c r="E20" s="7" t="inlineStr">
        <is>
          <t>Relecture manager. 1re propale, 2 j à faire. Manager a renvoyé plein de commentaires, titres, structure. Repris en comprenant pourquoi.</t>
        </is>
      </c>
      <c r="F20" s="7" t="inlineStr">
        <is>
          <t>Première propale</t>
        </is>
      </c>
      <c r="G20" s="7" t="n"/>
      <c r="H20" t="inlineStr">
        <is>
          <t>T2</t>
        </is>
      </c>
    </row>
    <row r="21" ht="15" customHeight="1">
      <c r="A21" s="7" t="inlineStr">
        <is>
          <t>J1</t>
        </is>
      </c>
      <c r="B21" s="12">
        <f>IFERROR(INDEX(Panel!$B$4:$B$11,MATCH($A21,Panel!$A$4:$A$11,0)),"")</f>
        <v/>
      </c>
      <c r="C21" s="7" t="inlineStr">
        <is>
          <t>B3.1</t>
        </is>
      </c>
      <c r="D21" s="12">
        <f>IFERROR(INDEX(Codebook!$B$4:$B$62,MATCH($C21,Codebook!$A$4:$A$62,0)),"")</f>
        <v/>
      </c>
      <c r="E21" s="7" t="inlineStr">
        <is>
          <t>Manager passe moins de temps sur forme, plus sur fond. Comms + intéressants (« raisonnement léger » vs « titres pas alignés »). Paradoxalement améliore relecture senior.</t>
        </is>
      </c>
      <c r="F21" s="7" t="n"/>
      <c r="G21" s="23" t="inlineStr">
        <is>
          <t>Contredit l'hypothèse B3.2</t>
        </is>
      </c>
      <c r="H21" t="inlineStr">
        <is>
          <t>T2</t>
        </is>
      </c>
    </row>
    <row r="22" ht="15" customHeight="1">
      <c r="A22" s="7" t="inlineStr">
        <is>
          <t>J1</t>
        </is>
      </c>
      <c r="B22" s="12">
        <f>IFERROR(INDEX(Panel!$B$4:$B$11,MATCH($A22,Panel!$A$4:$A$11,0)),"")</f>
        <v/>
      </c>
      <c r="C22" s="7" t="inlineStr">
        <is>
          <t>B2.2</t>
        </is>
      </c>
      <c r="D22" s="12">
        <f>IFERROR(INDEX(Codebook!$B$4:$B$62,MATCH($C22,Codebook!$A$4:$A$62,0)),"")</f>
        <v/>
      </c>
      <c r="E22" s="7" t="inlineStr">
        <is>
          <t>Mais crainte : perdre capacité à faire version seule.</t>
        </is>
      </c>
      <c r="F22" s="7" t="n"/>
      <c r="G22" s="7" t="n"/>
      <c r="H22" t="inlineStr">
        <is>
          <t>T2</t>
        </is>
      </c>
    </row>
    <row r="23" ht="15" customHeight="1">
      <c r="A23" s="7" t="inlineStr">
        <is>
          <t>J1</t>
        </is>
      </c>
      <c r="B23" s="12">
        <f>IFERROR(INDEX(Panel!$B$4:$B$11,MATCH($A23,Panel!$A$4:$A$11,0)),"")</f>
        <v/>
      </c>
      <c r="C23" s="7" t="inlineStr">
        <is>
          <t>D3.1</t>
        </is>
      </c>
      <c r="D23" s="12">
        <f>IFERROR(INDEX(Codebook!$B$4:$B$62,MATCH($C23,Codebook!$A$4:$A$62,0)),"")</f>
        <v/>
      </c>
      <c r="E23" s="7" t="inlineStr">
        <is>
          <t>Adaptation CV. Au début à la main, puis outil. Une fois, dérapage : IA inventé projets inexistants. Si pas vérifié ligne à ligne, mensonge pur.</t>
        </is>
      </c>
      <c r="F23" s="7" t="inlineStr">
        <is>
          <t>Adaptation de CV</t>
        </is>
      </c>
      <c r="G23" s="7" t="n"/>
      <c r="H23" t="inlineStr">
        <is>
          <t>T2</t>
        </is>
      </c>
    </row>
    <row r="24" ht="15" customHeight="1">
      <c r="A24" s="7" t="inlineStr">
        <is>
          <t>J1</t>
        </is>
      </c>
      <c r="B24" s="12">
        <f>IFERROR(INDEX(Panel!$B$4:$B$11,MATCH($A24,Panel!$A$4:$A$11,0)),"")</f>
        <v/>
      </c>
      <c r="C24" s="23" t="inlineStr">
        <is>
          <t>B2.3</t>
        </is>
      </c>
      <c r="D24" s="12">
        <f>IFERROR(INDEX(Codebook!$B$4:$B$62,MATCH($C24,Codebook!$A$4:$A$62,0)),"")</f>
        <v/>
      </c>
      <c r="E24" s="7" t="inlineStr">
        <is>
          <t>Depuis, plus confiance sur les faits.</t>
        </is>
      </c>
      <c r="F24" s="7" t="n"/>
      <c r="G24" s="7" t="n"/>
      <c r="H24" t="inlineStr">
        <is>
          <t>T2</t>
        </is>
      </c>
    </row>
    <row r="25" ht="15" customHeight="1">
      <c r="A25" s="7" t="inlineStr">
        <is>
          <t>J1</t>
        </is>
      </c>
      <c r="B25" s="12">
        <f>IFERROR(INDEX(Panel!$B$4:$B$11,MATCH($A25,Panel!$A$4:$A$11,0)),"")</f>
        <v/>
      </c>
      <c r="C25" s="7" t="inlineStr">
        <is>
          <t>C1.3</t>
        </is>
      </c>
      <c r="D25" s="12">
        <f>IFERROR(INDEX(Codebook!$B$4:$B$62,MATCH($C25,Codebook!$A$4:$A$62,0)),"")</f>
        <v/>
      </c>
      <c r="E25" s="7" t="inlineStr">
        <is>
          <t>Parler leur langage (métier, contraintes). + Responsabilité : « ces gens-là ont vérifié, engagés ».</t>
        </is>
      </c>
      <c r="F25" s="7" t="n"/>
      <c r="G25" s="7" t="n"/>
      <c r="H25" t="inlineStr">
        <is>
          <t>T3</t>
        </is>
      </c>
    </row>
    <row r="26" ht="15" customHeight="1">
      <c r="A26" s="7" t="inlineStr">
        <is>
          <t>J1</t>
        </is>
      </c>
      <c r="B26" s="12">
        <f>IFERROR(INDEX(Panel!$B$4:$B$11,MATCH($A26,Panel!$A$4:$A$11,0)),"")</f>
        <v/>
      </c>
      <c r="C26" s="7" t="inlineStr">
        <is>
          <t>C1.3</t>
        </is>
      </c>
      <c r="D26" s="12">
        <f>IFERROR(INDEX(Codebook!$B$4:$B$62,MATCH($C26,Codebook!$A$4:$A$62,0)),"")</f>
        <v/>
      </c>
      <c r="E26" s="7" t="inlineStr">
        <is>
          <t>Client ne demande pas IA, demande vrai. Confiance = nom sur le document.</t>
        </is>
      </c>
      <c r="F26" s="7" t="n"/>
      <c r="G26" s="7" t="n"/>
      <c r="H26" t="inlineStr">
        <is>
          <t>T3</t>
        </is>
      </c>
    </row>
    <row r="27" ht="15" customHeight="1">
      <c r="A27" s="7" t="inlineStr">
        <is>
          <t>J1</t>
        </is>
      </c>
      <c r="B27" s="12">
        <f>IFERROR(INDEX(Panel!$B$4:$B$11,MATCH($A27,Panel!$A$4:$A$11,0)),"")</f>
        <v/>
      </c>
      <c r="C27" s="7" t="inlineStr">
        <is>
          <t>C2.2</t>
        </is>
      </c>
      <c r="D27" s="12">
        <f>IFERROR(INDEX(Codebook!$B$4:$B$62,MATCH($C27,Codebook!$A$4:$A$62,0)),"")</f>
        <v/>
      </c>
      <c r="E27" s="7" t="inlineStr">
        <is>
          <t>Non. Pas mentir si demande, mais pas mettre en avant. Risque : « pourquoi je paie un cabinet ? ».</t>
        </is>
      </c>
      <c r="F27" s="7" t="n"/>
      <c r="G27" s="7" t="n"/>
      <c r="H27" t="inlineStr">
        <is>
          <t>T3</t>
        </is>
      </c>
    </row>
    <row r="28" ht="15" customHeight="1">
      <c r="A28" s="7" t="inlineStr">
        <is>
          <t>J1</t>
        </is>
      </c>
      <c r="B28" s="12">
        <f>IFERROR(INDEX(Panel!$B$4:$B$11,MATCH($A28,Panel!$A$4:$A$11,0)),"")</f>
        <v/>
      </c>
      <c r="C28" s="7" t="inlineStr">
        <is>
          <t>C2.2</t>
        </is>
      </c>
      <c r="D28" s="12">
        <f>IFERROR(INDEX(Codebook!$B$4:$B$62,MATCH($C28,Codebook!$A$4:$A$62,0)),"")</f>
        <v/>
      </c>
      <c r="E28" s="7" t="inlineStr">
        <is>
          <t>Clients soupçonnent. On élude « technologies qui aident ». Jamais dit « on génère des slides avec [l'outil] ». Sujet tabou.</t>
        </is>
      </c>
      <c r="F28" s="7" t="n"/>
      <c r="G28" s="7" t="n"/>
      <c r="H28" t="inlineStr">
        <is>
          <t>T3</t>
        </is>
      </c>
    </row>
    <row r="29" ht="15" customHeight="1">
      <c r="A29" s="7" t="inlineStr">
        <is>
          <t>J1</t>
        </is>
      </c>
      <c r="B29" s="12">
        <f>IFERROR(INDEX(Panel!$B$4:$B$11,MATCH($A29,Panel!$A$4:$A$11,0)),"")</f>
        <v/>
      </c>
      <c r="C29" s="7" t="inlineStr">
        <is>
          <t>C1.1</t>
        </is>
      </c>
      <c r="D29" s="12">
        <f>IFERROR(INDEX(Codebook!$B$4:$B$62,MATCH($C29,Codebook!$A$4:$A$62,0)),"")</f>
        <v/>
      </c>
      <c r="E29" s="7" t="inlineStr">
        <is>
          <t>Erreurs factuelles. Chiffre faux =&gt; tout remis en cause. Erreur humaine excusable, erreur machine = faute pro.</t>
        </is>
      </c>
      <c r="F29" s="7" t="n"/>
      <c r="G29" s="7" t="n"/>
      <c r="H29" t="inlineStr">
        <is>
          <t>T3</t>
        </is>
      </c>
    </row>
    <row r="30" ht="15" customHeight="1">
      <c r="A30" s="7" t="inlineStr">
        <is>
          <t>J1</t>
        </is>
      </c>
      <c r="B30" s="12">
        <f>IFERROR(INDEX(Panel!$B$4:$B$11,MATCH($A30,Panel!$A$4:$A$11,0)),"")</f>
        <v/>
      </c>
      <c r="C30" s="7" t="inlineStr">
        <is>
          <t>C3.1</t>
        </is>
      </c>
      <c r="D30" s="12">
        <f>IFERROR(INDEX(Codebook!$B$4:$B$62,MATCH($C30,Codebook!$A$4:$A$62,0)),"")</f>
        <v/>
      </c>
      <c r="E30" s="7" t="inlineStr">
        <is>
          <t>Capacité à prendre des risques. Dire vérité inconfortable. IA fait analyse/synthèse/mise en forme, pas prendre position. Payé pour jugement.</t>
        </is>
      </c>
      <c r="F30" s="7" t="n"/>
      <c r="G30" s="7" t="n"/>
      <c r="H30" t="inlineStr">
        <is>
          <t>T3</t>
        </is>
      </c>
    </row>
    <row r="31" ht="15" customHeight="1">
      <c r="A31" s="7" t="inlineStr">
        <is>
          <t>J1</t>
        </is>
      </c>
      <c r="B31" s="12">
        <f>IFERROR(INDEX(Panel!$B$4:$B$11,MATCH($A31,Panel!$A$4:$A$11,0)),"")</f>
        <v/>
      </c>
      <c r="C31" s="7" t="inlineStr">
        <is>
          <t>D1.1</t>
        </is>
      </c>
      <c r="D31" s="12">
        <f>IFERROR(INDEX(Codebook!$B$4:$B$62,MATCH($C31,Codebook!$A$4:$A$62,0)),"")</f>
        <v/>
      </c>
      <c r="E31" s="7" t="inlineStr">
        <is>
          <t>Officiellement, oui. Session y a 2 mois. [Outil homologué] approuvé, attention données confidentielles, anonymiser.</t>
        </is>
      </c>
      <c r="F31" s="7" t="n"/>
      <c r="G31" s="7" t="n"/>
      <c r="H31" t="inlineStr">
        <is>
          <t>T4</t>
        </is>
      </c>
    </row>
    <row r="32" ht="15" customHeight="1">
      <c r="A32" s="7" t="inlineStr">
        <is>
          <t>J1</t>
        </is>
      </c>
      <c r="B32" s="12">
        <f>IFERROR(INDEX(Panel!$B$4:$B$11,MATCH($A32,Panel!$A$4:$A$11,0)),"")</f>
        <v/>
      </c>
      <c r="C32" s="7" t="inlineStr">
        <is>
          <t>D1.3</t>
        </is>
      </c>
      <c r="D32" s="12">
        <f>IFERROR(INDEX(Codebook!$B$4:$B$62,MATCH($C32,Codebook!$A$4:$A$62,0)),"")</f>
        <v/>
      </c>
      <c r="E32" s="7" t="inlineStr">
        <is>
          <t>[Outils non officiels] = flou total. « Faites attention », pas de règle écrite.</t>
        </is>
      </c>
      <c r="F32" s="7" t="n"/>
      <c r="G32" s="7" t="n"/>
      <c r="H32" t="inlineStr">
        <is>
          <t>T4</t>
        </is>
      </c>
    </row>
    <row r="33" ht="15" customHeight="1">
      <c r="A33" s="7" t="inlineStr">
        <is>
          <t>J1</t>
        </is>
      </c>
      <c r="B33" s="12">
        <f>IFERROR(INDEX(Panel!$B$4:$B$11,MATCH($A33,Panel!$A$4:$A$11,0)),"")</f>
        <v/>
      </c>
      <c r="C33" s="7" t="inlineStr">
        <is>
          <t>A4.4</t>
        </is>
      </c>
      <c r="D33" s="12">
        <f>IFERROR(INDEX(Codebook!$B$4:$B$62,MATCH($C33,Codebook!$A$4:$A$62,0)),"")</f>
        <v/>
      </c>
      <c r="E33" s="7" t="inlineStr">
        <is>
          <t>Utilise officieusement, très attention. Pas sûr que tout le monde prudent.</t>
        </is>
      </c>
      <c r="F33" s="7" t="n"/>
      <c r="G33" s="7" t="n"/>
      <c r="H33" t="inlineStr">
        <is>
          <t>T4</t>
        </is>
      </c>
    </row>
    <row r="34" ht="15" customHeight="1">
      <c r="A34" s="7" t="inlineStr">
        <is>
          <t>J1</t>
        </is>
      </c>
      <c r="B34" s="12">
        <f>IFERROR(INDEX(Panel!$B$4:$B$11,MATCH($A34,Panel!$A$4:$A$11,0)),"")</f>
        <v/>
      </c>
      <c r="C34" s="7" t="inlineStr">
        <is>
          <t>D2.1</t>
        </is>
      </c>
      <c r="D34" s="12">
        <f>IFERROR(INDEX(Codebook!$B$4:$B$62,MATCH($C34,Codebook!$A$4:$A$62,0)),"")</f>
        <v/>
      </c>
      <c r="E34" s="7" t="inlineStr">
        <is>
          <t>Revue hiérarchique. Version préliminaire -&gt; manager -&gt; commentaires -&gt; corrige -&gt; valid.</t>
        </is>
      </c>
      <c r="F34" s="7" t="n"/>
      <c r="G34" s="7" t="n"/>
      <c r="H34" t="inlineStr">
        <is>
          <t>T4</t>
        </is>
      </c>
    </row>
    <row r="35" ht="15" customHeight="1">
      <c r="A35" s="7" t="inlineStr">
        <is>
          <t>J1</t>
        </is>
      </c>
      <c r="B35" s="12">
        <f>IFERROR(INDEX(Panel!$B$4:$B$11,MATCH($A35,Panel!$A$4:$A$11,0)),"")</f>
        <v/>
      </c>
      <c r="C35" s="7" t="inlineStr">
        <is>
          <t>D2.3</t>
        </is>
      </c>
      <c r="D35" s="12">
        <f>IFERROR(INDEX(Codebook!$B$4:$B$62,MATCH($C35,Codebook!$A$4:$A$62,0)),"")</f>
        <v/>
      </c>
      <c r="E35" s="7" t="inlineStr">
        <is>
          <t>Pas de « check IA ». Personne demande « généré par ? ». Contrôle fond, pas processus. Managers soupçonnent mais ne posent pas.</t>
        </is>
      </c>
      <c r="F35" s="7" t="n"/>
      <c r="G35" s="7" t="n"/>
      <c r="H35" t="inlineStr">
        <is>
          <t>T4</t>
        </is>
      </c>
    </row>
    <row r="36" ht="15" customHeight="1">
      <c r="A36" s="7" t="inlineStr">
        <is>
          <t>J1</t>
        </is>
      </c>
      <c r="B36" s="12">
        <f>IFERROR(INDEX(Panel!$B$4:$B$11,MATCH($A36,Panel!$A$4:$A$11,0)),"")</f>
        <v/>
      </c>
      <c r="C36" s="7" t="inlineStr">
        <is>
          <t>T3.1</t>
        </is>
      </c>
      <c r="D36" s="12">
        <f>IFERROR(INDEX(Codebook!$B$4:$B$62,MATCH($C36,Codebook!$A$4:$A$62,0)),"")</f>
        <v/>
      </c>
      <c r="E36" s="7" t="inlineStr">
        <is>
          <t>Dit à collègue stagiaire, rigolé. Pas dit manager. Honte.</t>
        </is>
      </c>
      <c r="F36" s="7" t="inlineStr">
        <is>
          <t>Quasi-incident CV</t>
        </is>
      </c>
      <c r="G36" s="7" t="n"/>
      <c r="H36" t="inlineStr">
        <is>
          <t>T4</t>
        </is>
      </c>
    </row>
    <row r="37" ht="15" customHeight="1">
      <c r="A37" s="7" t="inlineStr">
        <is>
          <t>J1</t>
        </is>
      </c>
      <c r="B37" s="12">
        <f>IFERROR(INDEX(Panel!$B$4:$B$11,MATCH($A37,Panel!$A$4:$A$11,0)),"")</f>
        <v/>
      </c>
      <c r="C37" s="7" t="inlineStr">
        <is>
          <t>D3.2</t>
        </is>
      </c>
      <c r="D37" s="12">
        <f>IFERROR(INDEX(Codebook!$B$4:$B$62,MATCH($C37,Codebook!$A$4:$A$62,0)),"")</f>
        <v/>
      </c>
      <c r="E37" s="7" t="inlineStr">
        <is>
          <t>Frayeur. Si parti sans vérifier, mensonge client. Responsabilité sur moi.</t>
        </is>
      </c>
      <c r="F37" s="7" t="inlineStr">
        <is>
          <t>Quasi-incident CV</t>
        </is>
      </c>
      <c r="G37" s="7" t="n"/>
      <c r="H37" t="inlineStr">
        <is>
          <t>T4</t>
        </is>
      </c>
    </row>
    <row r="38" ht="15" customHeight="1">
      <c r="A38" s="7" t="inlineStr">
        <is>
          <t>J1</t>
        </is>
      </c>
      <c r="B38" s="12">
        <f>IFERROR(INDEX(Panel!$B$4:$B$11,MATCH($A38,Panel!$A$4:$A$11,0)),"")</f>
        <v/>
      </c>
      <c r="C38" s="7" t="inlineStr">
        <is>
          <t>T2.2</t>
        </is>
      </c>
      <c r="D38" s="12">
        <f>IFERROR(INDEX(Codebook!$B$4:$B$62,MATCH($C38,Codebook!$A$4:$A$62,0)),"")</f>
        <v/>
      </c>
      <c r="E38" s="7" t="inlineStr">
        <is>
          <t>« Utiliser IA pour rédactionnel/structure/synthèse. Mais justifier chaque fait. Si pas justifiable, pas utiliser. »</t>
        </is>
      </c>
      <c r="F38" s="7" t="n"/>
      <c r="G38" s="7" t="n"/>
      <c r="H38" t="inlineStr">
        <is>
          <t>T4</t>
        </is>
      </c>
    </row>
    <row r="39" ht="15" customHeight="1">
      <c r="A39" s="7" t="inlineStr">
        <is>
          <t>J1</t>
        </is>
      </c>
      <c r="B39" s="12">
        <f>IFERROR(INDEX(Panel!$B$4:$B$11,MATCH($A39,Panel!$A$4:$A$11,0)),"")</f>
        <v/>
      </c>
      <c r="C39" s="7" t="inlineStr">
        <is>
          <t>D2.2</t>
        </is>
      </c>
      <c r="D39" s="12">
        <f>IFERROR(INDEX(Codebook!$B$4:$B$62,MATCH($C39,Codebook!$A$4:$A$62,0)),"")</f>
        <v/>
      </c>
      <c r="E39" s="7" t="inlineStr">
        <is>
          <t>Ce qui m'a sauvé = avoir gardé source de vérité à côté.</t>
        </is>
      </c>
      <c r="F39" s="7" t="n"/>
      <c r="G39" s="7" t="n"/>
      <c r="H39" t="inlineStr">
        <is>
          <t>T4</t>
        </is>
      </c>
    </row>
    <row r="40" ht="15" customHeight="1">
      <c r="A40" s="7" t="inlineStr">
        <is>
          <t>J1</t>
        </is>
      </c>
      <c r="B40" s="12">
        <f>IFERROR(INDEX(Panel!$B$4:$B$11,MATCH($A40,Panel!$A$4:$A$11,0)),"")</f>
        <v/>
      </c>
      <c r="C40" s="7" t="inlineStr">
        <is>
          <t>D5.2</t>
        </is>
      </c>
      <c r="D40" s="12">
        <f>IFERROR(INDEX(Codebook!$B$4:$B$62,MATCH($C40,Codebook!$A$4:$A$62,0)),"")</f>
        <v/>
      </c>
      <c r="E40" s="7" t="inlineStr">
        <is>
          <t>Clarifier statut outils non-officiels. Interdire ou approuver avec garde-fous. Flou dangereux.</t>
        </is>
      </c>
      <c r="F40" s="7" t="n"/>
      <c r="G40" s="7" t="n"/>
      <c r="H40" t="inlineStr">
        <is>
          <t>T5</t>
        </is>
      </c>
    </row>
    <row r="41" ht="15" customHeight="1">
      <c r="A41" s="7" t="inlineStr">
        <is>
          <t>J1</t>
        </is>
      </c>
      <c r="B41" s="12">
        <f>IFERROR(INDEX(Panel!$B$4:$B$11,MATCH($A41,Panel!$A$4:$A$11,0)),"")</f>
        <v/>
      </c>
      <c r="C41" s="7" t="inlineStr">
        <is>
          <t>T2.2</t>
        </is>
      </c>
      <c r="D41" s="12">
        <f>IFERROR(INDEX(Codebook!$B$4:$B$62,MATCH($C41,Codebook!$A$4:$A$62,0)),"")</f>
        <v/>
      </c>
      <c r="E41" s="7" t="inlineStr">
        <is>
          <t>Formation obligatoire pas sur prompts, mais sur détection hallucinations. Risque = consultants ne voient pas erreurs.</t>
        </is>
      </c>
      <c r="F41" s="7" t="n"/>
      <c r="G41" s="7" t="n"/>
      <c r="H41" t="inlineStr">
        <is>
          <t>T5</t>
        </is>
      </c>
    </row>
    <row r="42" ht="15" customHeight="1">
      <c r="A42" s="7" t="inlineStr">
        <is>
          <t>J1</t>
        </is>
      </c>
      <c r="B42" s="12">
        <f>IFERROR(INDEX(Panel!$B$4:$B$11,MATCH($A42,Panel!$A$4:$A$11,0)),"")</f>
        <v/>
      </c>
      <c r="C42" s="7" t="inlineStr">
        <is>
          <t>B2.2</t>
        </is>
      </c>
      <c r="D42" s="12">
        <f>IFERROR(INDEX(Codebook!$B$4:$B$62,MATCH($C42,Codebook!$A$4:$A$62,0)),"")</f>
        <v/>
      </c>
      <c r="E42" s="7" t="inlineStr">
        <is>
          <t>Slide en 30 sec =&gt; moins enclin à réfléchir fond avant. Plus vite, mais impression de ne pas maîtriser sujet. Illusion de compétence.</t>
        </is>
      </c>
      <c r="F42" s="7" t="n"/>
      <c r="G42" s="7" t="n"/>
      <c r="H42" t="inlineStr">
        <is>
          <t>T5</t>
        </is>
      </c>
    </row>
    <row r="43" ht="15" customHeight="1">
      <c r="A43" s="7" t="inlineStr">
        <is>
          <t>J1</t>
        </is>
      </c>
      <c r="B43" s="12">
        <f>IFERROR(INDEX(Panel!$B$4:$B$11,MATCH($A43,Panel!$A$4:$A$11,0)),"")</f>
        <v/>
      </c>
      <c r="C43" s="7" t="inlineStr">
        <is>
          <t>B4.1</t>
        </is>
      </c>
      <c r="D43" s="12">
        <f>IFERROR(INDEX(Codebook!$B$4:$B$62,MATCH($C43,Codebook!$A$4:$A$62,0)),"")</f>
        <v/>
      </c>
      <c r="E43" s="7" t="inlineStr">
        <is>
          <t>Dans 6 mois, saurai faire structure seul ?</t>
        </is>
      </c>
      <c r="F43" s="7" t="n"/>
      <c r="G43" s="7" t="n"/>
      <c r="H43" t="inlineStr">
        <is>
          <t>T5</t>
        </is>
      </c>
    </row>
    <row r="44" ht="15" customHeight="1">
      <c r="A44" s="7" t="inlineStr">
        <is>
          <t>J2</t>
        </is>
      </c>
      <c r="B44" s="12">
        <f>IFERROR(INDEX(Panel!$B$4:$B$11,MATCH($A44,Panel!$A$4:$A$11,0)),"")</f>
        <v/>
      </c>
      <c r="C44" s="7" t="inlineStr">
        <is>
          <t>A1.3</t>
        </is>
      </c>
      <c r="D44" s="12">
        <f>IFERROR(INDEX(Codebook!$B$4:$B$62,MATCH($C44,Codebook!$A$4:$A$62,0)),"")</f>
        <v/>
      </c>
      <c r="E44" s="7" t="inlineStr">
        <is>
          <t>Propale. 3 jours pour répondre. Section « leviers d'innovation ». Fils contexte 2 phrases. Demandé 5 pistes d'injects innovants.</t>
        </is>
      </c>
      <c r="F44" s="7" t="inlineStr">
        <is>
          <t>Appel d'offre</t>
        </is>
      </c>
      <c r="G44" s="7" t="inlineStr">
        <is>
          <t>A1.5 ?</t>
        </is>
      </c>
      <c r="H44" t="inlineStr">
        <is>
          <t>T1</t>
        </is>
      </c>
    </row>
    <row r="45" ht="15" customHeight="1">
      <c r="A45" s="7" t="inlineStr">
        <is>
          <t>J2</t>
        </is>
      </c>
      <c r="B45" s="12">
        <f>IFERROR(INDEX(Panel!$B$4:$B$11,MATCH($A45,Panel!$A$4:$A$11,0)),"")</f>
        <v/>
      </c>
      <c r="C45" s="7" t="inlineStr">
        <is>
          <t>A4.1</t>
        </is>
      </c>
      <c r="D45" s="12">
        <f>IFERROR(INDEX(Codebook!$B$4:$B$62,MATCH($C45,Codebook!$A$4:$A$62,0)),"")</f>
        <v/>
      </c>
      <c r="E45" s="7" t="inlineStr">
        <is>
          <t>Sorti « panne coms », « fuite presse ». Certaines utilisables, d'autres trop génériques. Gardé 3. Adapté formulations.</t>
        </is>
      </c>
      <c r="F45" s="7" t="n"/>
      <c r="G45" s="7" t="inlineStr">
        <is>
          <t>B2.3 ?</t>
        </is>
      </c>
      <c r="H45" t="inlineStr">
        <is>
          <t>T1</t>
        </is>
      </c>
    </row>
    <row r="46" ht="15" customHeight="1">
      <c r="A46" s="7" t="inlineStr">
        <is>
          <t>J2</t>
        </is>
      </c>
      <c r="B46" s="12">
        <f>IFERROR(INDEX(Panel!$B$4:$B$11,MATCH($A46,Panel!$A$4:$A$11,0)),"")</f>
        <v/>
      </c>
      <c r="C46" s="7" t="inlineStr">
        <is>
          <t>A1.3</t>
        </is>
      </c>
      <c r="D46" s="12">
        <f>IFERROR(INDEX(Codebook!$B$4:$B$62,MATCH($C46,Codebook!$A$4:$A$62,0)),"")</f>
        <v/>
      </c>
      <c r="E46" s="7" t="inlineStr">
        <is>
          <t>Propales. Injects. Créatif : scénarios, rebondissements, données fictives crédibles.</t>
        </is>
      </c>
      <c r="F46" s="7" t="n"/>
      <c r="G46" s="7" t="n"/>
      <c r="H46" t="inlineStr">
        <is>
          <t>T1</t>
        </is>
      </c>
    </row>
    <row r="47" ht="15" customHeight="1">
      <c r="A47" s="7" t="inlineStr">
        <is>
          <t>J2</t>
        </is>
      </c>
      <c r="B47" s="12">
        <f>IFERROR(INDEX(Panel!$B$4:$B$11,MATCH($A47,Panel!$A$4:$A$11,0)),"")</f>
        <v/>
      </c>
      <c r="C47" s="7" t="inlineStr">
        <is>
          <t>A2.2</t>
        </is>
      </c>
      <c r="D47" s="12">
        <f>IFERROR(INDEX(Codebook!$B$4:$B$62,MATCH($C47,Codebook!$A$4:$A$62,0)),"")</f>
        <v/>
      </c>
      <c r="E47" s="7" t="inlineStr">
        <is>
          <t>Jamais sur analyse post-exercice. Chiffrage, REX concrets. L'IA n'était pas dans la salle. Fais main.</t>
        </is>
      </c>
      <c r="F47" s="7" t="inlineStr">
        <is>
          <t>Exercice de crise</t>
        </is>
      </c>
      <c r="G47" s="7" t="n"/>
      <c r="H47" t="inlineStr">
        <is>
          <t>T1</t>
        </is>
      </c>
    </row>
    <row r="48" ht="15" customHeight="1">
      <c r="A48" s="7" t="inlineStr">
        <is>
          <t>J2</t>
        </is>
      </c>
      <c r="B48" s="12">
        <f>IFERROR(INDEX(Panel!$B$4:$B$11,MATCH($A48,Panel!$A$4:$A$11,0)),"")</f>
        <v/>
      </c>
      <c r="C48" s="7" t="inlineStr">
        <is>
          <t>A3.1</t>
        </is>
      </c>
      <c r="D48" s="12">
        <f>IFERROR(INDEX(Codebook!$B$4:$B$62,MATCH($C48,Codebook!$A$4:$A$62,0)),"")</f>
        <v/>
      </c>
      <c r="E48" s="7" t="inlineStr">
        <is>
          <t>Sur le tas. Pas de formation. Intuitif. Tu demandes, il répond. Pas de prompts avancés.</t>
        </is>
      </c>
      <c r="F48" s="7" t="n"/>
      <c r="G48" s="7" t="n"/>
      <c r="H48" t="inlineStr">
        <is>
          <t>T1</t>
        </is>
      </c>
    </row>
    <row r="49" ht="15" customHeight="1">
      <c r="A49" s="7" t="inlineStr">
        <is>
          <t>J2</t>
        </is>
      </c>
      <c r="B49" s="12">
        <f>IFERROR(INDEX(Panel!$B$4:$B$11,MATCH($A49,Panel!$A$4:$A$11,0)),"")</f>
        <v/>
      </c>
      <c r="C49" s="7" t="inlineStr">
        <is>
          <t>A4.1</t>
        </is>
      </c>
      <c r="D49" s="12">
        <f>IFERROR(INDEX(Codebook!$B$4:$B$62,MATCH($C49,Codebook!$A$4:$A$62,0)),"")</f>
        <v/>
      </c>
      <c r="E49" s="7" t="inlineStr">
        <is>
          <t>Gagné 1h sur recherche d'idées. Utilisée pour affiner structure, vérifier arguments. Passé + temps sur cohérence globale.</t>
        </is>
      </c>
      <c r="F49" s="7" t="n"/>
      <c r="G49" s="7" t="n"/>
      <c r="H49" t="inlineStr">
        <is>
          <t>T1</t>
        </is>
      </c>
    </row>
    <row r="50" ht="15" customHeight="1">
      <c r="A50" s="7" t="inlineStr">
        <is>
          <t>J2</t>
        </is>
      </c>
      <c r="B50" s="12">
        <f>IFERROR(INDEX(Panel!$B$4:$B$11,MATCH($A50,Panel!$A$4:$A$11,0)),"")</f>
        <v/>
      </c>
      <c r="C50" s="7" t="inlineStr">
        <is>
          <t>A4.3</t>
        </is>
      </c>
      <c r="D50" s="12">
        <f>IFERROR(INDEX(Codebook!$B$4:$B$62,MATCH($C50,Codebook!$A$4:$A$62,0)),"")</f>
        <v/>
      </c>
      <c r="E50" s="7" t="inlineStr">
        <is>
          <t>Injects cyber hyper spécifique. Trop générique. 10 min à reformuler prompt, exemples. Rien. Réécrit en 5 min. Trop spécifique = tête.</t>
        </is>
      </c>
      <c r="F50" s="7" t="n"/>
      <c r="G50" s="7" t="inlineStr">
        <is>
          <t>A4.2 ?</t>
        </is>
      </c>
      <c r="H50" t="inlineStr">
        <is>
          <t>T1</t>
        </is>
      </c>
    </row>
    <row r="51" ht="15" customHeight="1">
      <c r="A51" s="7" t="inlineStr">
        <is>
          <t>J2</t>
        </is>
      </c>
      <c r="B51" s="12">
        <f>IFERROR(INDEX(Panel!$B$4:$B$11,MATCH($A51,Panel!$A$4:$A$11,0)),"")</f>
        <v/>
      </c>
      <c r="C51" s="7" t="inlineStr">
        <is>
          <t>A3.2</t>
        </is>
      </c>
      <c r="D51" s="12">
        <f>IFERROR(INDEX(Codebook!$B$4:$B$62,MATCH($C51,Codebook!$A$4:$A$62,0)),"")</f>
        <v/>
      </c>
      <c r="E51" s="7" t="inlineStr">
        <is>
          <t>Un peu. Astuces. Informel. Pas en réunion ou avec managers.</t>
        </is>
      </c>
      <c r="F51" s="7" t="n"/>
      <c r="G51" s="7" t="inlineStr">
        <is>
          <t>T3.1 ?</t>
        </is>
      </c>
      <c r="H51" t="inlineStr">
        <is>
          <t>T1</t>
        </is>
      </c>
    </row>
    <row r="52" ht="15" customHeight="1">
      <c r="A52" s="7" t="inlineStr">
        <is>
          <t>J2</t>
        </is>
      </c>
      <c r="B52" s="12">
        <f>IFERROR(INDEX(Panel!$B$4:$B$11,MATCH($A52,Panel!$A$4:$A$11,0)),"")</f>
        <v/>
      </c>
      <c r="C52" s="7" t="inlineStr">
        <is>
          <t>T3.1</t>
        </is>
      </c>
      <c r="D52" s="12">
        <f>IFERROR(INDEX(Codebook!$B$4:$B$62,MATCH($C52,Codebook!$A$4:$A$62,0)),"")</f>
        <v/>
      </c>
      <c r="E52" s="7" t="inlineStr">
        <is>
          <t>Tout le monde l'utilise, personne en parle. Secret de polichinelle.</t>
        </is>
      </c>
      <c r="F52" s="7" t="n"/>
      <c r="G52" s="7" t="n"/>
      <c r="H52" t="inlineStr">
        <is>
          <t>T1</t>
        </is>
      </c>
    </row>
    <row r="53" ht="15" customHeight="1">
      <c r="A53" s="7" t="inlineStr">
        <is>
          <t>J2</t>
        </is>
      </c>
      <c r="B53" s="12">
        <f>IFERROR(INDEX(Panel!$B$4:$B$11,MATCH($A53,Panel!$A$4:$A$11,0)),"")</f>
        <v/>
      </c>
      <c r="C53" s="7" t="inlineStr">
        <is>
          <t>B3.3</t>
        </is>
      </c>
      <c r="D53" s="12">
        <f>IFERROR(INDEX(Codebook!$B$4:$B$62,MATCH($C53,Codebook!$A$4:$A$62,0)),"")</f>
        <v/>
      </c>
      <c r="E53" s="7" t="inlineStr">
        <is>
          <t>Pratique. Propales, exos, restitutions. IA aide à aller vite, mais n'apprend pas le métier.</t>
        </is>
      </c>
      <c r="F53" s="7" t="n"/>
      <c r="G53" s="7" t="inlineStr">
        <is>
          <t>B1.1 ?</t>
        </is>
      </c>
      <c r="H53" t="inlineStr">
        <is>
          <t>T2</t>
        </is>
      </c>
    </row>
    <row r="54" ht="15" customHeight="1">
      <c r="A54" s="7" t="inlineStr">
        <is>
          <t>J2</t>
        </is>
      </c>
      <c r="B54" s="12">
        <f>IFERROR(INDEX(Panel!$B$4:$B$11,MATCH($A54,Panel!$A$4:$A$11,0)),"")</f>
        <v/>
      </c>
      <c r="C54" s="7" t="inlineStr">
        <is>
          <t>B3.3</t>
        </is>
      </c>
      <c r="D54" s="12">
        <f>IFERROR(INDEX(Codebook!$B$4:$B$62,MATCH($C54,Codebook!$A$4:$A$62,0)),"")</f>
        <v/>
      </c>
      <c r="E54" s="7" t="inlineStr">
        <is>
          <t>Clients, seniors, analyse terrain. Outil, pas mentor.</t>
        </is>
      </c>
      <c r="F54" s="7" t="n"/>
      <c r="G54" s="7" t="n"/>
      <c r="H54" t="inlineStr">
        <is>
          <t>T2</t>
        </is>
      </c>
    </row>
    <row r="55" ht="15" customHeight="1">
      <c r="A55" s="7" t="inlineStr">
        <is>
          <t>J2</t>
        </is>
      </c>
      <c r="B55" s="12">
        <f>IFERROR(INDEX(Panel!$B$4:$B$11,MATCH($A55,Panel!$A$4:$A$11,0)),"")</f>
        <v/>
      </c>
      <c r="C55" s="7" t="inlineStr">
        <is>
          <t>A2.3</t>
        </is>
      </c>
      <c r="D55" s="12">
        <f>IFERROR(INDEX(Codebook!$B$4:$B$62,MATCH($C55,Codebook!$A$4:$A$62,0)),"")</f>
        <v/>
      </c>
      <c r="E55" s="7" t="inlineStr">
        <is>
          <t>Incertitude. Propale, tu sais pas ce que client attend. Exo, paramètres changent. Adaptation.</t>
        </is>
      </c>
      <c r="F55" s="7" t="n"/>
      <c r="G55" s="7" t="inlineStr">
        <is>
          <t>AUCUN</t>
        </is>
      </c>
      <c r="H55" t="inlineStr">
        <is>
          <t>T2</t>
        </is>
      </c>
    </row>
    <row r="56" ht="15" customHeight="1">
      <c r="A56" s="7" t="inlineStr">
        <is>
          <t>J2</t>
        </is>
      </c>
      <c r="B56" s="12">
        <f>IFERROR(INDEX(Panel!$B$4:$B$11,MATCH($A56,Panel!$A$4:$A$11,0)),"")</f>
        <v/>
      </c>
      <c r="C56" s="7" t="inlineStr">
        <is>
          <t>B1.2</t>
        </is>
      </c>
      <c r="D56" s="12">
        <f>IFERROR(INDEX(Codebook!$B$4:$B$62,MATCH($C56,Codebook!$A$4:$A$62,0)),"")</f>
        <v/>
      </c>
      <c r="E56" s="7" t="inlineStr">
        <is>
          <t>Répétitives = rien. IA fait bien. Cœur = décision sous pression. IA le fait pas.</t>
        </is>
      </c>
      <c r="F56" s="7" t="n"/>
      <c r="G56" s="7" t="n"/>
      <c r="H56" t="inlineStr">
        <is>
          <t>T2</t>
        </is>
      </c>
    </row>
    <row r="57" ht="15" customHeight="1">
      <c r="A57" s="7" t="inlineStr">
        <is>
          <t>J2</t>
        </is>
      </c>
      <c r="B57" s="12">
        <f>IFERROR(INDEX(Panel!$B$4:$B$11,MATCH($A57,Panel!$A$4:$A$11,0)),"")</f>
        <v/>
      </c>
      <c r="C57" s="7" t="inlineStr">
        <is>
          <t>B2.1</t>
        </is>
      </c>
      <c r="D57" s="12">
        <f>IFERROR(INDEX(Codebook!$B$4:$B$62,MATCH($C57,Codebook!$A$4:$A$62,0)),"")</f>
        <v/>
      </c>
      <c r="E57" s="7" t="inlineStr">
        <is>
          <t>Injects = créatif. IA partenaire brainstorming. Gagne temps sur génération. Consacre sur affinage/crédibilité. Pas appauvrit, rend + efficace. Mais garde la main.</t>
        </is>
      </c>
      <c r="F57" s="7" t="n"/>
      <c r="G57" s="7" t="inlineStr">
        <is>
          <t>A4.1 ?</t>
        </is>
      </c>
      <c r="H57" t="inlineStr">
        <is>
          <t>T2</t>
        </is>
      </c>
    </row>
    <row r="58" ht="15" customHeight="1">
      <c r="A58" s="7" t="inlineStr">
        <is>
          <t>J2</t>
        </is>
      </c>
      <c r="B58" s="12">
        <f>IFERROR(INDEX(Panel!$B$4:$B$11,MATCH($A58,Panel!$A$4:$A$11,0)),"")</f>
        <v/>
      </c>
      <c r="C58" s="7" t="inlineStr">
        <is>
          <t>B2.3</t>
        </is>
      </c>
      <c r="D58" s="12">
        <f>IFERROR(INDEX(Codebook!$B$4:$B$62,MATCH($C58,Codebook!$A$4:$A$62,0)),"")</f>
        <v/>
      </c>
      <c r="E58" s="7" t="inlineStr">
        <is>
          <t>Cohérence globale. Crédibilité dans contexte client. Si incohérences ou trop générique, écarte ou retravaille.</t>
        </is>
      </c>
      <c r="F58" s="7" t="n"/>
      <c r="G58" s="7" t="n"/>
      <c r="H58" t="inlineStr">
        <is>
          <t>T2</t>
        </is>
      </c>
    </row>
    <row r="59" ht="15" customHeight="1">
      <c r="A59" s="7" t="inlineStr">
        <is>
          <t>J2</t>
        </is>
      </c>
      <c r="B59" s="12">
        <f>IFERROR(INDEX(Panel!$B$4:$B$11,MATCH($A59,Panel!$A$4:$A$11,0)),"")</f>
        <v/>
      </c>
      <c r="C59" s="7" t="inlineStr">
        <is>
          <t>D2.3</t>
        </is>
      </c>
      <c r="D59" s="12">
        <f>IFERROR(INDEX(Codebook!$B$4:$B$62,MATCH($C59,Codebook!$A$4:$A$62,0)),"")</f>
        <v/>
      </c>
      <c r="E59" s="7" t="inlineStr">
        <is>
          <t>Pas vérifier sources/chiffres. Pas factuel. Créativité/structure.</t>
        </is>
      </c>
      <c r="F59" s="7" t="n"/>
      <c r="G59" s="7" t="inlineStr">
        <is>
          <t>B2.3 ?</t>
        </is>
      </c>
      <c r="H59" t="inlineStr">
        <is>
          <t>T2</t>
        </is>
      </c>
    </row>
    <row r="60" ht="15" customHeight="1">
      <c r="A60" s="7" t="inlineStr">
        <is>
          <t>J2</t>
        </is>
      </c>
      <c r="B60" s="12">
        <f>IFERROR(INDEX(Panel!$B$4:$B$11,MATCH($A60,Panel!$A$4:$A$11,0)),"")</f>
        <v/>
      </c>
      <c r="C60" s="7" t="inlineStr">
        <is>
          <t>C1.1</t>
        </is>
      </c>
      <c r="D60" s="12">
        <f>IFERROR(INDEX(Codebook!$B$4:$B$62,MATCH($C60,Codebook!$A$4:$A$62,0)),"")</f>
        <v/>
      </c>
      <c r="E60" s="7" t="inlineStr">
        <is>
          <t>Anticiper. Scénarios, imprévus, conséquences. Plan solide + adaptation en direct = confiance.</t>
        </is>
      </c>
      <c r="F60" s="7" t="n"/>
      <c r="G60" s="7" t="inlineStr">
        <is>
          <t>C1.2 ?</t>
        </is>
      </c>
      <c r="H60" t="inlineStr">
        <is>
          <t>T3</t>
        </is>
      </c>
    </row>
    <row r="61" ht="15" customHeight="1">
      <c r="A61" s="7" t="inlineStr">
        <is>
          <t>J2</t>
        </is>
      </c>
      <c r="B61" s="12">
        <f>IFERROR(INDEX(Panel!$B$4:$B$11,MATCH($A61,Panel!$A$4:$A$11,0)),"")</f>
        <v/>
      </c>
      <c r="C61" s="7" t="inlineStr">
        <is>
          <t>A2.3</t>
        </is>
      </c>
      <c r="D61" s="12">
        <f>IFERROR(INDEX(Codebook!$B$4:$B$62,MATCH($C61,Codebook!$A$4:$A$62,0)),"")</f>
        <v/>
      </c>
      <c r="E61" s="7" t="inlineStr">
        <is>
          <t>IA prépare, jour J consultant terrain.</t>
        </is>
      </c>
      <c r="F61" s="7" t="n"/>
      <c r="G61" s="7" t="inlineStr">
        <is>
          <t>C3.1 ?</t>
        </is>
      </c>
      <c r="H61" t="inlineStr">
        <is>
          <t>T3</t>
        </is>
      </c>
    </row>
    <row r="62" ht="15" customHeight="1">
      <c r="A62" s="7" t="inlineStr">
        <is>
          <t>J2</t>
        </is>
      </c>
      <c r="B62" s="12">
        <f>IFERROR(INDEX(Panel!$B$4:$B$11,MATCH($A62,Panel!$A$4:$A$11,0)),"")</f>
        <v/>
      </c>
      <c r="C62" s="7" t="inlineStr">
        <is>
          <t>C2.2</t>
        </is>
      </c>
      <c r="D62" s="12">
        <f>IFERROR(INDEX(Codebook!$B$4:$B$62,MATCH($C62,Codebook!$A$4:$A$62,0)),"")</f>
        <v/>
      </c>
      <c r="E62" s="7" t="inlineStr">
        <is>
          <t>Non. N'apporte rien. Client veut livrable de qualité. Peu importe comment.</t>
        </is>
      </c>
      <c r="F62" s="7" t="n"/>
      <c r="G62" s="7" t="inlineStr">
        <is>
          <t>C1.2 ?</t>
        </is>
      </c>
      <c r="H62" t="inlineStr">
        <is>
          <t>T3</t>
        </is>
      </c>
    </row>
    <row r="63" ht="15" customHeight="1">
      <c r="A63" s="7" t="inlineStr">
        <is>
          <t>J2</t>
        </is>
      </c>
      <c r="B63" s="12">
        <f>IFERROR(INDEX(Panel!$B$4:$B$11,MATCH($A63,Panel!$A$4:$A$11,0)),"")</f>
        <v/>
      </c>
      <c r="C63" s="7" t="inlineStr">
        <is>
          <t>C2.2</t>
        </is>
      </c>
      <c r="D63" s="12">
        <f>IFERROR(INDEX(Codebook!$B$4:$B$62,MATCH($C63,Codebook!$A$4:$A$62,0)),"")</f>
        <v/>
      </c>
      <c r="E63" s="7" t="inlineStr">
        <is>
          <t>Si dis « utilisé [l'outil] », distraction. « C'est vraiment vous ? ». Pas mentionner.</t>
        </is>
      </c>
      <c r="F63" s="7" t="n"/>
      <c r="G63" s="7" t="n"/>
      <c r="H63" t="inlineStr">
        <is>
          <t>T3</t>
        </is>
      </c>
    </row>
    <row r="64" ht="15" customHeight="1">
      <c r="A64" s="7" t="inlineStr">
        <is>
          <t>J2</t>
        </is>
      </c>
      <c r="B64" s="12">
        <f>IFERROR(INDEX(Panel!$B$4:$B$11,MATCH($A64,Panel!$A$4:$A$11,0)),"")</f>
        <v/>
      </c>
      <c r="C64" s="7" t="inlineStr">
        <is>
          <t>C1.1</t>
        </is>
      </c>
      <c r="D64" s="12">
        <f>IFERROR(INDEX(Codebook!$B$4:$B$62,MATCH($C64,Codebook!$A$4:$A$62,0)),"")</f>
        <v/>
      </c>
      <c r="E64" s="7" t="inlineStr">
        <is>
          <t>Ancrage. Si client sent pas compris secteur, contraintes, culture, doute. IA générique, pas nuances contexte. Livrable juste mais pas pertinent.</t>
        </is>
      </c>
      <c r="F64" s="7" t="n"/>
      <c r="G64" s="7" t="n"/>
      <c r="H64" t="inlineStr">
        <is>
          <t>T3</t>
        </is>
      </c>
    </row>
    <row r="65" ht="15" customHeight="1">
      <c r="A65" s="7" t="inlineStr">
        <is>
          <t>J2</t>
        </is>
      </c>
      <c r="B65" s="12">
        <f>IFERROR(INDEX(Panel!$B$4:$B$11,MATCH($A65,Panel!$A$4:$A$11,0)),"")</f>
        <v/>
      </c>
      <c r="C65" s="7" t="inlineStr">
        <is>
          <t>C3.1</t>
        </is>
      </c>
      <c r="D65" s="12">
        <f>IFERROR(INDEX(Codebook!$B$4:$B$62,MATCH($C65,Codebook!$A$4:$A$62,0)),"")</f>
        <v/>
      </c>
      <c r="E65" s="7" t="inlineStr">
        <is>
          <t>Expérience humaine. Crise = relationnel, improvisation, prise de risque. Conseil = présence, pas algorithmes.</t>
        </is>
      </c>
      <c r="F65" s="7" t="n"/>
      <c r="G65" s="7" t="inlineStr">
        <is>
          <t>C1.1 ?</t>
        </is>
      </c>
      <c r="H65" t="inlineStr">
        <is>
          <t>T3</t>
        </is>
      </c>
    </row>
    <row r="66" ht="15" customHeight="1">
      <c r="A66" s="7" t="inlineStr">
        <is>
          <t>J2</t>
        </is>
      </c>
      <c r="B66" s="12">
        <f>IFERROR(INDEX(Panel!$B$4:$B$11,MATCH($A66,Panel!$A$4:$A$11,0)),"")</f>
        <v/>
      </c>
      <c r="C66" s="7" t="inlineStr">
        <is>
          <t>D1.1</t>
        </is>
      </c>
      <c r="D66" s="12">
        <f>IFERROR(INDEX(Codebook!$B$4:$B$62,MATCH($C66,Codebook!$A$4:$A$62,0)),"")</f>
        <v/>
      </c>
      <c r="E66" s="7" t="inlineStr">
        <is>
          <t>[Outil homologué] officiel. Communication générale. Rien contraignant.</t>
        </is>
      </c>
      <c r="F66" s="7" t="n"/>
      <c r="G66" s="7" t="inlineStr">
        <is>
          <t>D1.3 ?</t>
        </is>
      </c>
      <c r="H66" t="inlineStr">
        <is>
          <t>T4</t>
        </is>
      </c>
    </row>
    <row r="67" ht="15" customHeight="1">
      <c r="A67" s="7" t="inlineStr">
        <is>
          <t>J2</t>
        </is>
      </c>
      <c r="B67" s="12">
        <f>IFERROR(INDEX(Panel!$B$4:$B$11,MATCH($A67,Panel!$A$4:$A$11,0)),"")</f>
        <v/>
      </c>
      <c r="C67" s="7" t="inlineStr">
        <is>
          <t>D3.3</t>
        </is>
      </c>
      <c r="D67" s="12">
        <f>IFERROR(INDEX(Codebook!$B$4:$B$62,MATCH($C67,Codebook!$A$4:$A$62,0)),"")</f>
        <v/>
      </c>
      <c r="E67" s="7" t="inlineStr">
        <is>
          <t>Passé armée =&gt; sensibilisé confi. Pas besoin qu'on dise. Je fais nature.</t>
        </is>
      </c>
      <c r="F67" s="7" t="n"/>
      <c r="G67" s="7" t="inlineStr">
        <is>
          <t>D1.2 ?</t>
        </is>
      </c>
      <c r="H67" t="inlineStr">
        <is>
          <t>T4</t>
        </is>
      </c>
    </row>
    <row r="68" ht="15" customHeight="1">
      <c r="A68" s="7" t="inlineStr">
        <is>
          <t>J2</t>
        </is>
      </c>
      <c r="B68" s="12">
        <f>IFERROR(INDEX(Panel!$B$4:$B$11,MATCH($A68,Panel!$A$4:$A$11,0)),"")</f>
        <v/>
      </c>
      <c r="C68" s="7" t="inlineStr">
        <is>
          <t>D2.1</t>
        </is>
      </c>
      <c r="D68" s="12">
        <f>IFERROR(INDEX(Codebook!$B$4:$B$62,MATCH($C68,Codebook!$A$4:$A$62,0)),"")</f>
        <v/>
      </c>
      <c r="E68" s="7" t="inlineStr">
        <is>
          <t>Relecture manager/senior. Cohérence, chiffres, reco. Pas demandent si IA. S'en doutent peut-être. Contenu bon, processus pas regardé.</t>
        </is>
      </c>
      <c r="F68" s="7" t="n"/>
      <c r="G68" s="7" t="inlineStr">
        <is>
          <t>D2.3 ?</t>
        </is>
      </c>
      <c r="H68" t="inlineStr">
        <is>
          <t>T4</t>
        </is>
      </c>
    </row>
    <row r="69" ht="15" customHeight="1">
      <c r="A69" s="7" t="inlineStr">
        <is>
          <t>J2</t>
        </is>
      </c>
      <c r="B69" s="12">
        <f>IFERROR(INDEX(Panel!$B$4:$B$11,MATCH($A69,Panel!$A$4:$A$11,0)),"")</f>
        <v/>
      </c>
      <c r="C69" s="7" t="inlineStr">
        <is>
          <t>A4.1</t>
        </is>
      </c>
      <c r="D69" s="12">
        <f>IFERROR(INDEX(Codebook!$B$4:$B$62,MATCH($C69,Codebook!$A$4:$A$62,0)),"")</f>
        <v/>
      </c>
      <c r="E69" s="7" t="inlineStr">
        <is>
          <t>Pas vraiment. Trop générique, mais pas inventé. Utilise pour idées, pas faits. Risque limité.</t>
        </is>
      </c>
      <c r="F69" s="7" t="n"/>
      <c r="G69" s="7" t="inlineStr">
        <is>
          <t>AUCUN</t>
        </is>
      </c>
      <c r="H69" t="inlineStr">
        <is>
          <t>T4</t>
        </is>
      </c>
    </row>
    <row r="70" ht="15" customHeight="1">
      <c r="A70" s="7" t="inlineStr">
        <is>
          <t>J2</t>
        </is>
      </c>
      <c r="B70" s="12">
        <f>IFERROR(INDEX(Panel!$B$4:$B$11,MATCH($A70,Panel!$A$4:$A$11,0)),"")</f>
        <v/>
      </c>
      <c r="C70" s="7" t="inlineStr">
        <is>
          <t>D3.1</t>
        </is>
      </c>
      <c r="D70" s="12">
        <f>IFERROR(INDEX(Codebook!$B$4:$B$62,MATCH($C70,Codebook!$A$4:$A$62,0)),"")</f>
        <v/>
      </c>
      <c r="E70" s="7" t="inlineStr">
        <is>
          <t>Collègues [outils non officiels] données = chiffres nulle part. Ont dû reprendre. Je préfère éviter.</t>
        </is>
      </c>
      <c r="F70" s="7" t="n"/>
      <c r="G70" s="7" t="inlineStr">
        <is>
          <t>A4.4 ?</t>
        </is>
      </c>
      <c r="H70" t="inlineStr">
        <is>
          <t>T4</t>
        </is>
      </c>
    </row>
    <row r="71" ht="15" customHeight="1">
      <c r="A71" s="7" t="inlineStr">
        <is>
          <t>J2</t>
        </is>
      </c>
      <c r="B71" s="12">
        <f>IFERROR(INDEX(Panel!$B$4:$B$11,MATCH($A71,Panel!$A$4:$A$11,0)),"")</f>
        <v/>
      </c>
      <c r="C71" s="7" t="inlineStr">
        <is>
          <t>T2.2</t>
        </is>
      </c>
      <c r="D71" s="12">
        <f>IFERROR(INDEX(Codebook!$B$4:$B$62,MATCH($C71,Codebook!$A$4:$A$62,0)),"")</f>
        <v/>
      </c>
      <c r="E71" s="7" t="inlineStr">
        <is>
          <t>« Aide créativité/structure, pas substitut jugement. » Vérification : si faits, justifiables. Données sensibles : pas outils non-officiels.</t>
        </is>
      </c>
      <c r="F71" s="7" t="n"/>
      <c r="G71" s="7" t="inlineStr">
        <is>
          <t>D5.2 ?</t>
        </is>
      </c>
      <c r="H71" t="inlineStr">
        <is>
          <t>T4</t>
        </is>
      </c>
    </row>
    <row r="72" ht="15" customHeight="1">
      <c r="A72" s="7" t="inlineStr">
        <is>
          <t>J2</t>
        </is>
      </c>
      <c r="B72" s="12">
        <f>IFERROR(INDEX(Panel!$B$4:$B$11,MATCH($A72,Panel!$A$4:$A$11,0)),"")</f>
        <v/>
      </c>
      <c r="C72" s="7" t="inlineStr">
        <is>
          <t>D5.2</t>
        </is>
      </c>
      <c r="D72" s="12">
        <f>IFERROR(INDEX(Codebook!$B$4:$B$62,MATCH($C72,Codebook!$A$4:$A$62,0)),"")</f>
        <v/>
      </c>
      <c r="E72" s="7" t="inlineStr">
        <is>
          <t>Charte simple. 1 page. 3 règles : possible, impossible, vérifier.</t>
        </is>
      </c>
      <c r="F72" s="7" t="n"/>
      <c r="G72" s="7" t="inlineStr">
        <is>
          <t>T2.2 ?</t>
        </is>
      </c>
      <c r="H72" t="inlineStr">
        <is>
          <t>T5</t>
        </is>
      </c>
    </row>
    <row r="73" ht="15" customHeight="1">
      <c r="A73" s="7" t="inlineStr">
        <is>
          <t>J2</t>
        </is>
      </c>
      <c r="B73" s="12">
        <f>IFERROR(INDEX(Panel!$B$4:$B$11,MATCH($A73,Panel!$A$4:$A$11,0)),"")</f>
        <v/>
      </c>
      <c r="C73" s="7" t="inlineStr">
        <is>
          <t>T2.2</t>
        </is>
      </c>
      <c r="D73" s="12">
        <f>IFERROR(INDEX(Codebook!$B$4:$B$62,MATCH($C73,Codebook!$A$4:$A$62,0)),"")</f>
        <v/>
      </c>
      <c r="E73" s="7" t="inlineStr">
        <is>
          <t>Canal [messagerie interne] bonnes pratiques. Actuellement on tâtonne. Certains font erreurs évitables.</t>
        </is>
      </c>
      <c r="F73" s="7" t="n"/>
      <c r="G73" s="7" t="inlineStr">
        <is>
          <t>A3.2 ?</t>
        </is>
      </c>
      <c r="H73" t="inlineStr">
        <is>
          <t>T5</t>
        </is>
      </c>
    </row>
    <row r="74" ht="15" customHeight="1">
      <c r="A74" s="7" t="inlineStr">
        <is>
          <t>J2</t>
        </is>
      </c>
      <c r="B74" s="12">
        <f>IFERROR(INDEX(Panel!$B$4:$B$11,MATCH($A74,Panel!$A$4:$A$11,0)),"")</f>
        <v/>
      </c>
      <c r="C74" s="7" t="inlineStr">
        <is>
          <t>T1.1</t>
        </is>
      </c>
      <c r="D74" s="12">
        <f>IFERROR(INDEX(Codebook!$B$4:$B$62,MATCH($C74,Codebook!$A$4:$A$62,0)),"")</f>
        <v/>
      </c>
      <c r="E74" s="7" t="inlineStr">
        <is>
          <t>Culture cabinet. Ici ouvert, mais ambivalence. On dit innover, pas dit comment intégrer. Décalage discours/pratique.</t>
        </is>
      </c>
      <c r="F74" s="7" t="n"/>
      <c r="G74" s="7" t="inlineStr">
        <is>
          <t>D1.3 ?</t>
        </is>
      </c>
      <c r="H74" t="inlineStr">
        <is>
          <t>T5</t>
        </is>
      </c>
    </row>
    <row r="75" ht="15" customHeight="1">
      <c r="A75" s="7" t="inlineStr">
        <is>
          <t>E1</t>
        </is>
      </c>
      <c r="B75" s="12">
        <f>IFERROR(INDEX(Panel!$B$4:$B$11,MATCH($A75,Panel!$A$4:$A$11,0)),"")</f>
        <v/>
      </c>
      <c r="C75" s="7" t="inlineStr">
        <is>
          <t>D2.1</t>
        </is>
      </c>
      <c r="D75" s="12">
        <f>IFERROR(INDEX(Codebook!$B$4:$B$62,MATCH($C75,Codebook!$A$4:$A$62,0)),"")</f>
        <v/>
      </c>
      <c r="E75" s="7" t="inlineStr">
        <is>
          <t>À mon niveau, passe + temps à relire qu'à écrire.</t>
        </is>
      </c>
      <c r="F75" s="7" t="n"/>
      <c r="G75" s="7" t="inlineStr">
        <is>
          <t>B3.1 ?</t>
        </is>
      </c>
      <c r="H75" t="inlineStr">
        <is>
          <t>T0</t>
        </is>
      </c>
    </row>
    <row r="76" ht="15" customHeight="1">
      <c r="A76" s="7" t="inlineStr">
        <is>
          <t>E1</t>
        </is>
      </c>
      <c r="B76" s="12">
        <f>IFERROR(INDEX(Panel!$B$4:$B$11,MATCH($A76,Panel!$A$4:$A$11,0)),"")</f>
        <v/>
      </c>
      <c r="C76" s="7" t="inlineStr">
        <is>
          <t>A3.2</t>
        </is>
      </c>
      <c r="D76" s="12">
        <f>IFERROR(INDEX(Codebook!$B$4:$B$62,MATCH($C76,Codebook!$A$4:$A$62,0)),"")</f>
        <v/>
      </c>
      <c r="E76" s="7" t="inlineStr">
        <is>
          <t>2-3 semaines. Curiosité. Junior parlait d'un prompt pour notes réunion. Testé sur CR que j'avais fait. Résultat correct, mais pas + que ce que j'avais.</t>
        </is>
      </c>
      <c r="F76" s="7" t="n"/>
      <c r="G76" s="7" t="inlineStr">
        <is>
          <t>A4.1 ?</t>
        </is>
      </c>
      <c r="H76" t="inlineStr">
        <is>
          <t>T1</t>
        </is>
      </c>
    </row>
    <row r="77" ht="15" customHeight="1">
      <c r="A77" s="7" t="inlineStr">
        <is>
          <t>E1</t>
        </is>
      </c>
      <c r="B77" s="12">
        <f>IFERROR(INDEX(Panel!$B$4:$B$11,MATCH($A77,Panel!$A$4:$A$11,0)),"")</f>
        <v/>
      </c>
      <c r="C77" s="7" t="inlineStr">
        <is>
          <t>A4.3</t>
        </is>
      </c>
      <c r="D77" s="12">
        <f>IFERROR(INDEX(Codebook!$B$4:$B$62,MATCH($C77,Codebook!$A$4:$A$62,0)),"")</f>
        <v/>
      </c>
      <c r="E77" s="7" t="inlineStr">
        <is>
          <t>À mon niveau, sais ce que veux. Pas besoin d'expliquer 2h à machine. Plus rapide seul.</t>
        </is>
      </c>
      <c r="F77" s="7" t="n"/>
      <c r="G77" s="7" t="inlineStr">
        <is>
          <t>A4.2 ?</t>
        </is>
      </c>
      <c r="H77" t="inlineStr">
        <is>
          <t>T1</t>
        </is>
      </c>
    </row>
    <row r="78" ht="15" customHeight="1">
      <c r="A78" s="7" t="inlineStr">
        <is>
          <t>E1</t>
        </is>
      </c>
      <c r="B78" s="12">
        <f>IFERROR(INDEX(Panel!$B$4:$B$11,MATCH($A78,Panel!$A$4:$A$11,0)),"")</f>
        <v/>
      </c>
      <c r="C78" s="7" t="inlineStr">
        <is>
          <t>A4.3</t>
        </is>
      </c>
      <c r="D78" s="12">
        <f>IFERROR(INDEX(Codebook!$B$4:$B$62,MATCH($C78,Codebook!$A$4:$A$62,0)),"")</f>
        <v/>
      </c>
      <c r="E78" s="7" t="inlineStr">
        <is>
          <t>Pas vraiment quotidien. De temps en temps. Sujets moins maîtrisés. Rare.</t>
        </is>
      </c>
      <c r="F78" s="7" t="n"/>
      <c r="G78" s="7" t="inlineStr">
        <is>
          <t>A1.3 ?</t>
        </is>
      </c>
      <c r="H78" t="inlineStr">
        <is>
          <t>T1</t>
        </is>
      </c>
    </row>
    <row r="79" ht="15" customHeight="1">
      <c r="A79" s="7" t="inlineStr">
        <is>
          <t>E1</t>
        </is>
      </c>
      <c r="B79" s="12">
        <f>IFERROR(INDEX(Panel!$B$4:$B$11,MATCH($A79,Panel!$A$4:$A$11,0)),"")</f>
        <v/>
      </c>
      <c r="C79" s="7" t="inlineStr">
        <is>
          <t>A4.3</t>
        </is>
      </c>
      <c r="D79" s="12">
        <f>IFERROR(INDEX(Codebook!$B$4:$B$62,MATCH($C79,Codebook!$A$4:$A$62,0)),"")</f>
        <v/>
      </c>
      <c r="E79" s="7" t="inlineStr">
        <is>
          <t>Préfère méthodes : templates, bases données anciens livrables, connaissance clients. IA apporte pas grand-chose.</t>
        </is>
      </c>
      <c r="F79" s="7" t="n"/>
      <c r="G79" s="7" t="n"/>
      <c r="H79" t="inlineStr">
        <is>
          <t>T1</t>
        </is>
      </c>
    </row>
    <row r="80" ht="15" customHeight="1">
      <c r="A80" s="7" t="inlineStr">
        <is>
          <t>E1</t>
        </is>
      </c>
      <c r="B80" s="12">
        <f>IFERROR(INDEX(Panel!$B$4:$B$11,MATCH($A80,Panel!$A$4:$A$11,0)),"")</f>
        <v/>
      </c>
      <c r="C80" s="7" t="inlineStr">
        <is>
          <t>T1.2</t>
        </is>
      </c>
      <c r="D80" s="12">
        <f>IFERROR(INDEX(Codebook!$B$4:$B$62,MATCH($C80,Codebook!$A$4:$A$62,0)),"")</f>
        <v/>
      </c>
      <c r="E80" s="7" t="inlineStr">
        <is>
          <t>Juniors l'utilisent tout le temps. Eux ont besoin de béquille.</t>
        </is>
      </c>
      <c r="F80" s="7" t="n"/>
      <c r="G80" s="7" t="inlineStr">
        <is>
          <t>B4.1 ?</t>
        </is>
      </c>
      <c r="H80" t="inlineStr">
        <is>
          <t>T1</t>
        </is>
      </c>
    </row>
    <row r="81" ht="15" customHeight="1">
      <c r="A81" s="7" t="inlineStr">
        <is>
          <t>E1</t>
        </is>
      </c>
      <c r="B81" s="12">
        <f>IFERROR(INDEX(Panel!$B$4:$B$11,MATCH($A81,Panel!$A$4:$A$11,0)),"")</f>
        <v/>
      </c>
      <c r="C81" s="7" t="inlineStr">
        <is>
          <t>A3.3</t>
        </is>
      </c>
      <c r="D81" s="12">
        <f>IFERROR(INDEX(Codebook!$B$4:$B$62,MATCH($C81,Codebook!$A$4:$A$62,0)),"")</f>
        <v/>
      </c>
      <c r="E81" s="7" t="inlineStr">
        <is>
          <t>Session sensibilisation y a qqs mois. Pas creusé. Pas de bloc-notes prompts, pas veille.</t>
        </is>
      </c>
      <c r="F81" s="7" t="n"/>
      <c r="G81" s="7" t="inlineStr">
        <is>
          <t>A4.3 ?</t>
        </is>
      </c>
      <c r="H81" t="inlineStr">
        <is>
          <t>T1</t>
        </is>
      </c>
    </row>
    <row r="82" ht="15" customHeight="1">
      <c r="A82" s="7" t="inlineStr">
        <is>
          <t>E1</t>
        </is>
      </c>
      <c r="B82" s="12">
        <f>IFERROR(INDEX(Panel!$B$4:$B$11,MATCH($A82,Panel!$A$4:$A$11,0)),"")</f>
        <v/>
      </c>
      <c r="C82" s="7" t="inlineStr">
        <is>
          <t>A4.1</t>
        </is>
      </c>
      <c r="D82" s="12">
        <f>IFERROR(INDEX(Codebook!$B$4:$B$62,MATCH($C82,Codebook!$A$4:$A$62,0)),"")</f>
        <v/>
      </c>
      <c r="E82" s="7" t="inlineStr">
        <is>
          <t>Gain de temps à mettre sur relecture/vérification. Ce qui sort IA demande contrôle. Au final, est-ce qu'on gagne vraiment du temps ? Pas sûr.</t>
        </is>
      </c>
      <c r="F82" s="7" t="n"/>
      <c r="G82" s="7" t="inlineStr">
        <is>
          <t>B2.3 ?</t>
        </is>
      </c>
      <c r="H82" t="inlineStr">
        <is>
          <t>T1</t>
        </is>
      </c>
    </row>
    <row r="83" ht="15" customHeight="1">
      <c r="A83" s="7" t="inlineStr">
        <is>
          <t>E1</t>
        </is>
      </c>
      <c r="B83" s="12">
        <f>IFERROR(INDEX(Panel!$B$4:$B$11,MATCH($A83,Panel!$A$4:$A$11,0)),"")</f>
        <v/>
      </c>
      <c r="C83" s="7" t="inlineStr">
        <is>
          <t>D3.1</t>
        </is>
      </c>
      <c r="D83" s="12">
        <f>IFERROR(INDEX(Codebook!$B$4:$B$62,MATCH($C83,Codebook!$A$4:$A$62,0)),"")</f>
        <v/>
      </c>
      <c r="E83" s="7" t="inlineStr">
        <is>
          <t>Livrable client important. Junior avait utilisé IA sur tout. Incohérences partout. Chiffres faux. Réfs à textes inexistants. Formulations justes mais sens trahi.</t>
        </is>
      </c>
      <c r="F83" s="7" t="inlineStr">
        <is>
          <t>Incident livrable client</t>
        </is>
      </c>
      <c r="G83" s="7" t="inlineStr">
        <is>
          <t>D3.2 ?</t>
        </is>
      </c>
      <c r="H83" t="inlineStr">
        <is>
          <t>T1</t>
        </is>
      </c>
    </row>
    <row r="84" ht="15" customHeight="1">
      <c r="A84" s="7" t="inlineStr">
        <is>
          <t>E1</t>
        </is>
      </c>
      <c r="B84" s="12">
        <f>IFERROR(INDEX(Panel!$B$4:$B$11,MATCH($A84,Panel!$A$4:$A$11,0)),"")</f>
        <v/>
      </c>
      <c r="C84" s="7" t="inlineStr">
        <is>
          <t>D3.2</t>
        </is>
      </c>
      <c r="D84" s="12">
        <f>IFERROR(INDEX(Codebook!$B$4:$B$62,MATCH($C84,Codebook!$A$4:$A$62,0)),"")</f>
        <v/>
      </c>
      <c r="E84" s="7" t="inlineStr">
        <is>
          <t>Refait tout en catastrophe, avec junior, une nuit. Passé + temps corriger IA que produire nous-mêmes.</t>
        </is>
      </c>
      <c r="F84" s="7" t="inlineStr">
        <is>
          <t>Incident livrable client</t>
        </is>
      </c>
      <c r="G84" s="7" t="inlineStr">
        <is>
          <t>A4.1 ?</t>
        </is>
      </c>
      <c r="H84" t="inlineStr">
        <is>
          <t>T1</t>
        </is>
      </c>
    </row>
    <row r="85" ht="15" customHeight="1">
      <c r="A85" s="7" t="inlineStr">
        <is>
          <t>E1</t>
        </is>
      </c>
      <c r="B85" s="12">
        <f>IFERROR(INDEX(Panel!$B$4:$B$11,MATCH($A85,Panel!$A$4:$A$11,0)),"")</f>
        <v/>
      </c>
      <c r="C85" s="7" t="inlineStr">
        <is>
          <t>T3.2</t>
        </is>
      </c>
      <c r="D85" s="12">
        <f>IFERROR(INDEX(Codebook!$B$4:$B$62,MATCH($C85,Codebook!$A$4:$A$62,0)),"")</f>
        <v/>
      </c>
      <c r="E85" s="7" t="inlineStr">
        <is>
          <t>Depuis, très prudent. Demande systématiquement : « qu'est-ce qui est de toi, qu'est-ce qui est de l'IA ? »</t>
        </is>
      </c>
      <c r="F85" s="7" t="n"/>
      <c r="G85" s="7" t="n"/>
      <c r="H85" t="inlineStr">
        <is>
          <t>T1</t>
        </is>
      </c>
    </row>
    <row r="86" ht="15" customHeight="1">
      <c r="A86" s="7" t="inlineStr">
        <is>
          <t>E1</t>
        </is>
      </c>
      <c r="B86" s="12">
        <f>IFERROR(INDEX(Panel!$B$4:$B$11,MATCH($A86,Panel!$A$4:$A$11,0)),"")</f>
        <v/>
      </c>
      <c r="C86" s="7" t="inlineStr">
        <is>
          <t>A3.2</t>
        </is>
      </c>
      <c r="D86" s="12">
        <f>IFERROR(INDEX(Codebook!$B$4:$B$62,MATCH($C86,Codebook!$A$4:$A$62,0)),"")</f>
        <v/>
      </c>
      <c r="E86" s="7" t="inlineStr">
        <is>
          <t>Entre managers, oui. On partage. Consensus : IA là, faut composer, œil critique. Tous eu histoires livrables problématiques.</t>
        </is>
      </c>
      <c r="F86" s="7" t="n"/>
      <c r="G86" s="7" t="n"/>
      <c r="H86" t="inlineStr">
        <is>
          <t>T1</t>
        </is>
      </c>
    </row>
    <row r="87" ht="15" customHeight="1">
      <c r="A87" s="7" t="inlineStr">
        <is>
          <t>E1</t>
        </is>
      </c>
      <c r="B87" s="12">
        <f>IFERROR(INDEX(Panel!$B$4:$B$11,MATCH($A87,Panel!$A$4:$A$11,0)),"")</f>
        <v/>
      </c>
      <c r="C87" s="7" t="inlineStr">
        <is>
          <t>B2.3</t>
        </is>
      </c>
      <c r="D87" s="12">
        <f>IFERROR(INDEX(Codebook!$B$4:$B$62,MATCH($C87,Codebook!$A$4:$A$62,0)),"")</f>
        <v/>
      </c>
      <c r="E87" s="7" t="inlineStr">
        <is>
          <t>À mon niveau, changement métier. Vérifie plus seulement fond/forme. Vérifie aussi ce que IA a apporté. Compétence nouvelle à développer.</t>
        </is>
      </c>
      <c r="F87" s="7" t="n"/>
      <c r="G87" s="7" t="n"/>
      <c r="H87" t="inlineStr">
        <is>
          <t>T1</t>
        </is>
      </c>
    </row>
    <row r="88" ht="15" customHeight="1">
      <c r="A88" s="7" t="inlineStr">
        <is>
          <t>E1</t>
        </is>
      </c>
      <c r="B88" s="12">
        <f>IFERROR(INDEX(Panel!$B$4:$B$11,MATCH($A88,Panel!$A$4:$A$11,0)),"")</f>
        <v/>
      </c>
      <c r="C88" s="7" t="inlineStr">
        <is>
          <t>B3.1</t>
        </is>
      </c>
      <c r="D88" s="12">
        <f>IFERROR(INDEX(Codebook!$B$4:$B$62,MATCH($C88,Codebook!$A$4:$A$62,0)),"")</f>
        <v/>
      </c>
      <c r="E88" s="7" t="inlineStr">
        <is>
          <t>Quand j'ai commencé : faisait, se trompait, se faisait reprendre.</t>
        </is>
      </c>
      <c r="F88" s="7" t="n"/>
      <c r="G88" s="7" t="inlineStr">
        <is>
          <t>B3.3 ?</t>
        </is>
      </c>
      <c r="H88" t="inlineStr">
        <is>
          <t>T2</t>
        </is>
      </c>
    </row>
    <row r="89" ht="15" customHeight="1">
      <c r="A89" s="7" t="inlineStr">
        <is>
          <t>E1</t>
        </is>
      </c>
      <c r="B89" s="12">
        <f>IFERROR(INDEX(Panel!$B$4:$B$11,MATCH($A89,Panel!$A$4:$A$11,0)),"")</f>
        <v/>
      </c>
      <c r="C89" s="7" t="inlineStr">
        <is>
          <t>B2.2</t>
        </is>
      </c>
      <c r="D89" s="12">
        <f>IFERROR(INDEX(Codebook!$B$4:$B$62,MATCH($C89,Codebook!$A$4:$A$62,0)),"")</f>
        <v/>
      </c>
      <c r="E89" s="7" t="inlineStr">
        <is>
          <t>Aujourd'hui juniors arrivent avec livrables très propres très vite. Mais profondeur ? IA donne première version, retravaillent, mais pas chemin réflexion initiale.</t>
        </is>
      </c>
      <c r="F89" s="7" t="n"/>
      <c r="G89" s="7" t="n"/>
      <c r="H89" t="inlineStr">
        <is>
          <t>T2</t>
        </is>
      </c>
    </row>
    <row r="90" ht="15" customHeight="1">
      <c r="A90" s="7" t="inlineStr">
        <is>
          <t>E1</t>
        </is>
      </c>
      <c r="B90" s="12">
        <f>IFERROR(INDEX(Panel!$B$4:$B$11,MATCH($A90,Panel!$A$4:$A$11,0)),"")</f>
        <v/>
      </c>
      <c r="C90" s="7" t="inlineStr">
        <is>
          <t>B2.2</t>
        </is>
      </c>
      <c r="D90" s="12">
        <f>IFERROR(INDEX(Codebook!$B$4:$B$62,MATCH($C90,Codebook!$A$4:$A$62,0)),"")</f>
        <v/>
      </c>
      <c r="E90" s="7" t="inlineStr">
        <is>
          <t>Jeunes très bons forme, mais mal justifier fond. Apprentissage différent. Pas sûr meilleur.</t>
        </is>
      </c>
      <c r="F90" s="7" t="n"/>
      <c r="G90" s="7" t="inlineStr">
        <is>
          <t>B4.2 ?</t>
        </is>
      </c>
      <c r="H90" t="inlineStr">
        <is>
          <t>T2</t>
        </is>
      </c>
    </row>
    <row r="91" ht="15" customHeight="1">
      <c r="A91" s="7" t="inlineStr">
        <is>
          <t>E1</t>
        </is>
      </c>
      <c r="B91" s="12">
        <f>IFERROR(INDEX(Panel!$B$4:$B$11,MATCH($A91,Panel!$A$4:$A$11,0)),"")</f>
        <v/>
      </c>
      <c r="C91" s="7" t="inlineStr">
        <is>
          <t>A2.2</t>
        </is>
      </c>
      <c r="D91" s="12">
        <f>IFERROR(INDEX(Codebook!$B$4:$B$62,MATCH($C91,Codebook!$A$4:$A$62,0)),"")</f>
        <v/>
      </c>
      <c r="E91" s="7" t="inlineStr">
        <is>
          <t>Choix difficiles. Décider reco, orientation stratégique, pertinence client. IA peut pas.</t>
        </is>
      </c>
      <c r="F91" s="7" t="n"/>
      <c r="G91" s="7" t="inlineStr">
        <is>
          <t>C3.1 ?</t>
        </is>
      </c>
      <c r="H91" t="inlineStr">
        <is>
          <t>T2</t>
        </is>
      </c>
    </row>
    <row r="92" ht="15" customHeight="1">
      <c r="A92" s="7" t="inlineStr">
        <is>
          <t>E1</t>
        </is>
      </c>
      <c r="B92" s="12">
        <f>IFERROR(INDEX(Panel!$B$4:$B$11,MATCH($A92,Panel!$A$4:$A$11,0)),"")</f>
        <v/>
      </c>
      <c r="C92" s="7" t="inlineStr">
        <is>
          <t>B1.2</t>
        </is>
      </c>
      <c r="D92" s="12">
        <f>IFERROR(INDEX(Codebook!$B$4:$B$62,MATCH($C92,Codebook!$A$4:$A$62,0)),"")</f>
        <v/>
      </c>
      <c r="E92" s="7" t="inlineStr">
        <is>
          <t>Répétitives, rédaction, mise en forme : IA peut aider. Permet juniors passer + temps sur valeur ajoutée.</t>
        </is>
      </c>
      <c r="F92" s="7" t="n"/>
      <c r="G92" s="7" t="inlineStr">
        <is>
          <t>B2.1 ?</t>
        </is>
      </c>
      <c r="H92" t="inlineStr">
        <is>
          <t>T2</t>
        </is>
      </c>
    </row>
    <row r="93" ht="15" customHeight="1">
      <c r="A93" s="7" t="inlineStr">
        <is>
          <t>E1</t>
        </is>
      </c>
      <c r="B93" s="12">
        <f>IFERROR(INDEX(Panel!$B$4:$B$11,MATCH($A93,Panel!$A$4:$A$11,0)),"")</f>
        <v/>
      </c>
      <c r="C93" s="7" t="inlineStr">
        <is>
          <t>B1.1</t>
        </is>
      </c>
      <c r="D93" s="12">
        <f>IFERROR(INDEX(Codebook!$B$4:$B$62,MATCH($C93,Codebook!$A$4:$A$62,0)),"")</f>
        <v/>
      </c>
      <c r="E93" s="7" t="inlineStr">
        <is>
          <t>Mais faut qu'ils aient fait tâches ingrates au moins 1-2x à la main. Pour comprendre. Sans, sauront pas juger ce que IA sort.</t>
        </is>
      </c>
      <c r="F93" s="7" t="n"/>
      <c r="G93" s="7" t="n"/>
      <c r="H93" t="inlineStr">
        <is>
          <t>T2</t>
        </is>
      </c>
    </row>
    <row r="94" ht="15" customHeight="1">
      <c r="A94" s="7" t="inlineStr">
        <is>
          <t>E1</t>
        </is>
      </c>
      <c r="B94" s="12">
        <f>IFERROR(INDEX(Panel!$B$4:$B$11,MATCH($A94,Panel!$A$4:$A$11,0)),"")</f>
        <v/>
      </c>
      <c r="C94" s="7" t="inlineStr">
        <is>
          <t>D2.1</t>
        </is>
      </c>
      <c r="D94" s="12">
        <f>IFERROR(INDEX(Codebook!$B$4:$B$62,MATCH($C94,Codebook!$A$4:$A$62,0)),"")</f>
        <v/>
      </c>
      <c r="E94" s="7" t="inlineStr">
        <is>
          <t>Plus seulement contenu final. Processus. Demande : « comment arrivé ? Qu'est-ce fait toi ? Qu'est-ce IA ? Vérifié sources ? »</t>
        </is>
      </c>
      <c r="F94" s="7" t="n"/>
      <c r="G94" s="7" t="inlineStr">
        <is>
          <t>T3.2 ?</t>
        </is>
      </c>
      <c r="H94" t="inlineStr">
        <is>
          <t>T2</t>
        </is>
      </c>
    </row>
    <row r="95" ht="15" customHeight="1">
      <c r="A95" s="7" t="inlineStr">
        <is>
          <t>E1</t>
        </is>
      </c>
      <c r="B95" s="12">
        <f>IFERROR(INDEX(Panel!$B$4:$B$11,MATCH($A95,Panel!$A$4:$A$11,0)),"")</f>
        <v/>
      </c>
      <c r="C95" s="7" t="inlineStr">
        <is>
          <t>B2.3</t>
        </is>
      </c>
      <c r="D95" s="12">
        <f>IFERROR(INDEX(Codebook!$B$4:$B$62,MATCH($C95,Codebook!$A$4:$A$62,0)),"")</f>
        <v/>
      </c>
      <c r="E95" s="7" t="inlineStr">
        <is>
          <t>Devenu partie importante rôle manager : former juniors à vérification critique.</t>
        </is>
      </c>
      <c r="F95" s="7" t="n"/>
      <c r="G95" s="7" t="inlineStr">
        <is>
          <t>B3.1 ?</t>
        </is>
      </c>
      <c r="H95" t="inlineStr">
        <is>
          <t>T2</t>
        </is>
      </c>
    </row>
    <row r="96" ht="15" customHeight="1">
      <c r="A96" s="7" t="inlineStr">
        <is>
          <t>E1</t>
        </is>
      </c>
      <c r="B96" s="12">
        <f>IFERROR(INDEX(Panel!$B$4:$B$11,MATCH($A96,Panel!$A$4:$A$11,0)),"")</f>
        <v/>
      </c>
      <c r="C96" s="7" t="inlineStr">
        <is>
          <t>B3.1</t>
        </is>
      </c>
      <c r="D96" s="12">
        <f>IFERROR(INDEX(Codebook!$B$4:$B$62,MATCH($C96,Codebook!$A$4:$A$62,0)),"")</f>
        <v/>
      </c>
      <c r="E96" s="7" t="inlineStr">
        <is>
          <t>Jugement. Pourquoi telle formulation meilleure ? Pourquoi reco pertinente ? Pourquoi chiffre suspect ? Relecture = transmission compétences, pas correction technique.</t>
        </is>
      </c>
      <c r="F96" s="7" t="n"/>
      <c r="G96" s="7" t="n"/>
      <c r="H96" t="inlineStr">
        <is>
          <t>T2</t>
        </is>
      </c>
    </row>
    <row r="97" ht="15" customHeight="1">
      <c r="A97" s="7" t="inlineStr">
        <is>
          <t>E1</t>
        </is>
      </c>
      <c r="B97" s="12">
        <f>IFERROR(INDEX(Panel!$B$4:$B$11,MATCH($A97,Panel!$A$4:$A$11,0)),"")</f>
        <v/>
      </c>
      <c r="C97" s="7" t="inlineStr">
        <is>
          <t>B3.3</t>
        </is>
      </c>
      <c r="D97" s="12">
        <f>IFERROR(INDEX(Codebook!$B$4:$B$62,MATCH($C97,Codebook!$A$4:$A$62,0)),"")</f>
        <v/>
      </c>
      <c r="E97" s="7" t="inlineStr">
        <is>
          <t>Avec IA, transmission + importante. Juniors peuvent illusion outil fait travail. Mon rôle = montrer que non.</t>
        </is>
      </c>
      <c r="F97" s="7" t="n"/>
      <c r="G97" s="7" t="inlineStr">
        <is>
          <t>Contredit l'hypothèse B3.2 — B3.1 ?</t>
        </is>
      </c>
      <c r="H97" t="inlineStr">
        <is>
          <t>T2</t>
        </is>
      </c>
    </row>
    <row r="98" ht="15" customHeight="1">
      <c r="A98" s="7" t="inlineStr">
        <is>
          <t>E1</t>
        </is>
      </c>
      <c r="B98" s="12">
        <f>IFERROR(INDEX(Panel!$B$4:$B$11,MATCH($A98,Panel!$A$4:$A$11,0)),"")</f>
        <v/>
      </c>
      <c r="C98" s="7" t="inlineStr">
        <is>
          <t>C1.3</t>
        </is>
      </c>
      <c r="D98" s="12">
        <f>IFERROR(INDEX(Codebook!$B$4:$B$62,MATCH($C98,Codebook!$A$4:$A$62,0)),"")</f>
        <v/>
      </c>
      <c r="E98" s="7" t="inlineStr">
        <is>
          <t>Solidité. Banque/assurance, pas approximatif. Client doit sentir vérifié, solide, pris responsabilités.</t>
        </is>
      </c>
      <c r="F98" s="7" t="n"/>
      <c r="G98" s="7" t="inlineStr">
        <is>
          <t>C1.1 ?</t>
        </is>
      </c>
      <c r="H98" t="inlineStr">
        <is>
          <t>T3</t>
        </is>
      </c>
    </row>
    <row r="99" ht="15" customHeight="1">
      <c r="A99" s="7" t="inlineStr">
        <is>
          <t>E1</t>
        </is>
      </c>
      <c r="B99" s="12">
        <f>IFERROR(INDEX(Panel!$B$4:$B$11,MATCH($A99,Panel!$A$4:$A$11,0)),"")</f>
        <v/>
      </c>
      <c r="C99" s="7" t="inlineStr">
        <is>
          <t>C2.3</t>
        </is>
      </c>
      <c r="D99" s="12">
        <f>IFERROR(INDEX(Codebook!$B$4:$B$62,MATCH($C99,Codebook!$A$4:$A$62,0)),"")</f>
        <v/>
      </c>
      <c r="E99" s="7" t="inlineStr">
        <is>
          <t>Oui. Clients demandent si on utilise IA. Répond : technologies aide décision, mais analyse finale/recommandations entièrement équipes.</t>
        </is>
      </c>
      <c r="F99" s="7" t="n"/>
      <c r="G99" s="7" t="n"/>
      <c r="H99" t="inlineStr">
        <is>
          <t>T3</t>
        </is>
      </c>
    </row>
    <row r="100" ht="15" customHeight="1">
      <c r="A100" s="7" t="inlineStr">
        <is>
          <t>E1</t>
        </is>
      </c>
      <c r="B100" s="12">
        <f>IFERROR(INDEX(Panel!$B$4:$B$11,MATCH($A100,Panel!$A$4:$A$11,0)),"")</f>
        <v/>
      </c>
      <c r="C100" s="7" t="inlineStr">
        <is>
          <t>C2.2</t>
        </is>
      </c>
      <c r="D100" s="12">
        <f>IFERROR(INDEX(Codebook!$B$4:$B$62,MATCH($C100,Codebook!$A$4:$A$62,0)),"")</f>
        <v/>
      </c>
      <c r="E100" s="7" t="inlineStr">
        <is>
          <t>C'est vrai. Mais jamais « on génère slides avec [l'outil] ». Mal perçu. Client se demanderait ce qu'il paie.</t>
        </is>
      </c>
      <c r="F100" s="7" t="n"/>
      <c r="G100" s="7" t="n"/>
      <c r="H100" t="inlineStr">
        <is>
          <t>T3</t>
        </is>
      </c>
    </row>
    <row r="101" ht="15" customHeight="1">
      <c r="A101" s="7" t="inlineStr">
        <is>
          <t>E1</t>
        </is>
      </c>
      <c r="B101" s="12">
        <f>IFERROR(INDEX(Panel!$B$4:$B$11,MATCH($A101,Panel!$A$4:$A$11,0)),"")</f>
        <v/>
      </c>
      <c r="C101" s="7" t="inlineStr">
        <is>
          <t>C2.2</t>
        </is>
      </c>
      <c r="D101" s="12">
        <f>IFERROR(INDEX(Codebook!$B$4:$B$62,MATCH($C101,Codebook!$A$4:$A$62,0)),"")</f>
        <v/>
      </c>
      <c r="E101" s="7" t="inlineStr">
        <is>
          <t>Non. Contre-productif. Client paie résultat, pas processus. Si mauvais, pas cacher derrière IA. Responsabilité sur nous.</t>
        </is>
      </c>
      <c r="F101" s="7" t="n"/>
      <c r="G101" s="7" t="inlineStr">
        <is>
          <t>C3.2 ?</t>
        </is>
      </c>
      <c r="H101" t="inlineStr">
        <is>
          <t>T3</t>
        </is>
      </c>
    </row>
    <row r="102" ht="15" customHeight="1">
      <c r="A102" s="7" t="inlineStr">
        <is>
          <t>E1</t>
        </is>
      </c>
      <c r="B102" s="12">
        <f>IFERROR(INDEX(Panel!$B$4:$B$11,MATCH($A102,Panel!$A$4:$A$11,0)),"")</f>
        <v/>
      </c>
      <c r="C102" s="7" t="inlineStr">
        <is>
          <t>C1.1</t>
        </is>
      </c>
      <c r="D102" s="12">
        <f>IFERROR(INDEX(Codebook!$B$4:$B$62,MATCH($C102,Codebook!$A$4:$A$62,0)),"")</f>
        <v/>
      </c>
      <c r="E102" s="7" t="inlineStr">
        <is>
          <t>Erreurs factuelles. Junior IA sans vérifier, coquilles grossières. Client pas dit direct, mais méfiance après. Mission suivante a demandé autre consultant.</t>
        </is>
      </c>
      <c r="F102" s="7" t="inlineStr">
        <is>
          <t>Conséquence commerciale</t>
        </is>
      </c>
      <c r="G102" s="7" t="inlineStr">
        <is>
          <t>D3.1 ?</t>
        </is>
      </c>
      <c r="H102" t="inlineStr">
        <is>
          <t>T3</t>
        </is>
      </c>
    </row>
    <row r="103" ht="15" customHeight="1">
      <c r="A103" s="7" t="inlineStr">
        <is>
          <t>E1</t>
        </is>
      </c>
      <c r="B103" s="12">
        <f>IFERROR(INDEX(Panel!$B$4:$B$11,MATCH($A103,Panel!$A$4:$A$11,0)),"")</f>
        <v/>
      </c>
      <c r="C103" s="7" t="inlineStr">
        <is>
          <t>C3.2</t>
        </is>
      </c>
      <c r="D103" s="12">
        <f>IFERROR(INDEX(Codebook!$B$4:$B$62,MATCH($C103,Codebook!$A$4:$A$62,0)),"")</f>
        <v/>
      </c>
      <c r="E103" s="7" t="inlineStr">
        <is>
          <t>Jugement et responsabilité. Client paie quelqu'un qui dit « je recommande, j'assume ». Valeur cabinet = jugement, pas production.</t>
        </is>
      </c>
      <c r="F103" s="7" t="n"/>
      <c r="G103" s="7" t="inlineStr">
        <is>
          <t>C3.1 ?</t>
        </is>
      </c>
      <c r="H103" t="inlineStr">
        <is>
          <t>T3</t>
        </is>
      </c>
    </row>
    <row r="104" ht="15" customHeight="1">
      <c r="A104" s="7" t="inlineStr">
        <is>
          <t>E1</t>
        </is>
      </c>
      <c r="B104" s="12">
        <f>IFERROR(INDEX(Panel!$B$4:$B$11,MATCH($A104,Panel!$A$4:$A$11,0)),"")</f>
        <v/>
      </c>
      <c r="C104" s="7" t="inlineStr">
        <is>
          <t>D1.1</t>
        </is>
      </c>
      <c r="D104" s="12">
        <f>IFERROR(INDEX(Codebook!$B$4:$B$62,MATCH($C104,Codebook!$A$4:$A$62,0)),"")</f>
        <v/>
      </c>
      <c r="E104" s="7" t="inlineStr">
        <is>
          <t>Politique. [Outil homologué] officiel. Règles confidentialité.</t>
        </is>
      </c>
      <c r="F104" s="7" t="n"/>
      <c r="G104" s="7" t="n"/>
      <c r="H104" t="inlineStr">
        <is>
          <t>T4</t>
        </is>
      </c>
    </row>
    <row r="105" ht="15" customHeight="1">
      <c r="A105" s="7" t="inlineStr">
        <is>
          <t>E1</t>
        </is>
      </c>
      <c r="B105" s="12">
        <f>IFERROR(INDEX(Panel!$B$4:$B$11,MATCH($A105,Panel!$A$4:$A$11,0)),"")</f>
        <v/>
      </c>
      <c r="C105" s="7" t="inlineStr">
        <is>
          <t>D1.3</t>
        </is>
      </c>
      <c r="D105" s="12">
        <f>IFERROR(INDEX(Codebook!$B$4:$B$62,MATCH($C105,Codebook!$A$4:$A$62,0)),"")</f>
        <v/>
      </c>
      <c r="E105" s="7" t="inlineStr">
        <is>
          <t>À mon niveau, règles un peu légères. Flou outils non-officiels. Pas processus vérification spécifique. Repose responsabilité individuelle. Bien, mais pas suffisant vu risques.</t>
        </is>
      </c>
      <c r="F105" s="7" t="n"/>
      <c r="G105" s="7" t="inlineStr">
        <is>
          <t>D5.2 ?</t>
        </is>
      </c>
      <c r="H105" t="inlineStr">
        <is>
          <t>T4</t>
        </is>
      </c>
    </row>
    <row r="106" ht="15" customHeight="1">
      <c r="A106" s="7" t="inlineStr">
        <is>
          <t>E1</t>
        </is>
      </c>
      <c r="B106" s="12">
        <f>IFERROR(INDEX(Panel!$B$4:$B$11,MATCH($A106,Panel!$A$4:$A$11,0)),"")</f>
        <v/>
      </c>
      <c r="C106" s="7" t="inlineStr">
        <is>
          <t>T3.2</t>
        </is>
      </c>
      <c r="D106" s="12">
        <f>IFERROR(INDEX(Codebook!$B$4:$B$62,MATCH($C106,Codebook!$A$4:$A$62,0)),"")</f>
        <v/>
      </c>
      <c r="E106" s="7" t="inlineStr">
        <is>
          <t>Relecture, moi ou manager. Jusqu'à récent, pas vérifiait spécifiquement IA. Depuis incident, vérifie. Demande sources, justification choix.</t>
        </is>
      </c>
      <c r="F106" s="7" t="n"/>
      <c r="G106" s="7" t="n"/>
      <c r="H106" t="inlineStr">
        <is>
          <t>T4</t>
        </is>
      </c>
    </row>
    <row r="107" ht="15" customHeight="1">
      <c r="A107" s="7" t="inlineStr">
        <is>
          <t>E1</t>
        </is>
      </c>
      <c r="B107" s="12">
        <f>IFERROR(INDEX(Panel!$B$4:$B$11,MATCH($A107,Panel!$A$4:$A$11,0)),"")</f>
        <v/>
      </c>
      <c r="C107" s="23" t="inlineStr">
        <is>
          <t>D2.3</t>
        </is>
      </c>
      <c r="D107" s="12">
        <f>IFERROR(INDEX(Codebook!$B$4:$B$62,MATCH($C107,Codebook!$A$4:$A$62,0)),"")</f>
        <v/>
      </c>
      <c r="E107" s="7" t="inlineStr">
        <is>
          <t>Relecture, moi ou manager. Jusqu'à récent, pas vérifiait spécifiquement IA. Depuis incident, vérifie. Demande sources, justification choix.</t>
        </is>
      </c>
      <c r="F107" s="7" t="n"/>
      <c r="G107" s="7" t="n"/>
      <c r="H107" t="inlineStr">
        <is>
          <t>T4</t>
        </is>
      </c>
    </row>
    <row r="108" ht="15" customHeight="1">
      <c r="A108" s="7" t="inlineStr">
        <is>
          <t>E1</t>
        </is>
      </c>
      <c r="B108" s="12">
        <f>IFERROR(INDEX(Panel!$B$4:$B$11,MATCH($A108,Panel!$A$4:$A$11,0)),"")</f>
        <v/>
      </c>
      <c r="C108" s="7" t="inlineStr">
        <is>
          <t>T2.2</t>
        </is>
      </c>
      <c r="D108" s="12">
        <f>IFERROR(INDEX(Codebook!$B$4:$B$62,MATCH($C108,Codebook!$A$4:$A$62,0)),"")</f>
        <v/>
      </c>
      <c r="E108" s="7" t="inlineStr">
        <is>
          <t>Managers doivent développer compétence vérification spécifique. IA change nature erreurs.</t>
        </is>
      </c>
      <c r="F108" s="7" t="n"/>
      <c r="G108" s="7" t="inlineStr">
        <is>
          <t>B2.3 ?</t>
        </is>
      </c>
      <c r="H108" t="inlineStr">
        <is>
          <t>T4</t>
        </is>
      </c>
    </row>
    <row r="109" ht="15" customHeight="1">
      <c r="A109" s="7" t="inlineStr">
        <is>
          <t>E1</t>
        </is>
      </c>
      <c r="B109" s="12">
        <f>IFERROR(INDEX(Panel!$B$4:$B$11,MATCH($A109,Panel!$A$4:$A$11,0)),"")</f>
        <v/>
      </c>
      <c r="C109" s="7" t="inlineStr">
        <is>
          <t>D3.2</t>
        </is>
      </c>
      <c r="D109" s="12">
        <f>IFERROR(INDEX(Codebook!$B$4:$B$62,MATCH($C109,Codebook!$A$4:$A$62,0)),"")</f>
        <v/>
      </c>
      <c r="E109" s="7" t="inlineStr">
        <is>
          <t>Oui, livrable entier. Chiffres faux, références inventées, structure pas tenait. Heureusement refait avant client.</t>
        </is>
      </c>
      <c r="F109" s="7" t="n"/>
      <c r="G109" s="7" t="n"/>
      <c r="H109" t="inlineStr">
        <is>
          <t>T4</t>
        </is>
      </c>
    </row>
    <row r="110" ht="15" customHeight="1">
      <c r="A110" s="7" t="inlineStr">
        <is>
          <t>E1</t>
        </is>
      </c>
      <c r="B110" s="12">
        <f>IFERROR(INDEX(Panel!$B$4:$B$11,MATCH($A110,Panel!$A$4:$A$11,0)),"")</f>
        <v/>
      </c>
      <c r="C110" s="7" t="inlineStr">
        <is>
          <t>T2.2</t>
        </is>
      </c>
      <c r="D110" s="12">
        <f>IFERROR(INDEX(Codebook!$B$4:$B$62,MATCH($C110,Codebook!$A$4:$A$62,0)),"")</f>
        <v/>
      </c>
      <c r="E110" s="7" t="inlineStr">
        <is>
          <t>« IA outil assistance, pas production. Chaque livrable justifiable sans recours outil. »</t>
        </is>
      </c>
      <c r="F110" s="7" t="n"/>
      <c r="G110" s="7" t="inlineStr">
        <is>
          <t>D5.2 ?</t>
        </is>
      </c>
      <c r="H110" t="inlineStr">
        <is>
          <t>T4</t>
        </is>
      </c>
    </row>
    <row r="111" ht="15" customHeight="1">
      <c r="A111" s="7" t="inlineStr">
        <is>
          <t>E1</t>
        </is>
      </c>
      <c r="B111" s="12">
        <f>IFERROR(INDEX(Panel!$B$4:$B$11,MATCH($A111,Panel!$A$4:$A$11,0)),"")</f>
        <v/>
      </c>
      <c r="C111" s="7" t="inlineStr">
        <is>
          <t>D5.2</t>
        </is>
      </c>
      <c r="D111" s="12">
        <f>IFERROR(INDEX(Codebook!$B$4:$B$62,MATCH($C111,Codebook!$A$4:$A$62,0)),"")</f>
        <v/>
      </c>
      <c r="E111" s="7" t="inlineStr">
        <is>
          <t>Traçabilité : savoir ce qui a été produit par IA et pas. Pas contrôler, pouvoir vérifier si problème.</t>
        </is>
      </c>
      <c r="F111" s="7" t="n"/>
      <c r="G111" s="7" t="inlineStr">
        <is>
          <t>T2.2 ?</t>
        </is>
      </c>
      <c r="H111" t="inlineStr">
        <is>
          <t>T4</t>
        </is>
      </c>
    </row>
    <row r="112" ht="15" customHeight="1">
      <c r="A112" s="7" t="inlineStr">
        <is>
          <t>E1</t>
        </is>
      </c>
      <c r="B112" s="12">
        <f>IFERROR(INDEX(Panel!$B$4:$B$11,MATCH($A112,Panel!$A$4:$A$11,0)),"")</f>
        <v/>
      </c>
      <c r="C112" s="7" t="inlineStr">
        <is>
          <t>T2.2</t>
        </is>
      </c>
      <c r="D112" s="12">
        <f>IFERROR(INDEX(Codebook!$B$4:$B$62,MATCH($C112,Codebook!$A$4:$A$62,0)),"")</f>
        <v/>
      </c>
      <c r="E112" s="7" t="inlineStr">
        <is>
          <t>Système validation renforcé pour livrables utilisant IA. Pas interdiction, marquage. Mention « préparé avec assistance IA » déclenche relecture renforcée.</t>
        </is>
      </c>
      <c r="F112" s="7" t="n"/>
      <c r="G112" s="7" t="n"/>
      <c r="H112" t="inlineStr">
        <is>
          <t>T5</t>
        </is>
      </c>
    </row>
    <row r="113" ht="15" customHeight="1">
      <c r="A113" s="7" t="inlineStr">
        <is>
          <t>E1</t>
        </is>
      </c>
      <c r="B113" s="12">
        <f>IFERROR(INDEX(Panel!$B$4:$B$11,MATCH($A113,Panel!$A$4:$A$11,0)),"")</f>
        <v/>
      </c>
      <c r="C113" s="7" t="inlineStr">
        <is>
          <t>T2.2</t>
        </is>
      </c>
      <c r="D113" s="12">
        <f>IFERROR(INDEX(Codebook!$B$4:$B$62,MATCH($C113,Codebook!$A$4:$A$62,0)),"")</f>
        <v/>
      </c>
      <c r="E113" s="7" t="inlineStr">
        <is>
          <t>Former managers à relecture spécifique. Erreurs IA différentes humaines. + subtiles, + difficiles détecter.</t>
        </is>
      </c>
      <c r="F113" s="7" t="n"/>
      <c r="G113" s="7" t="n"/>
      <c r="H113" t="inlineStr">
        <is>
          <t>T5</t>
        </is>
      </c>
    </row>
    <row r="114" ht="15" customHeight="1">
      <c r="A114" s="7" t="inlineStr">
        <is>
          <t>E1</t>
        </is>
      </c>
      <c r="B114" s="12">
        <f>IFERROR(INDEX(Panel!$B$4:$B$11,MATCH($A114,Panel!$A$4:$A$11,0)),"")</f>
        <v/>
      </c>
      <c r="C114" s="7" t="inlineStr">
        <is>
          <t>T2.1</t>
        </is>
      </c>
      <c r="D114" s="12">
        <f>IFERROR(INDEX(Codebook!$B$4:$B$62,MATCH($C114,Codebook!$A$4:$A$62,0)),"")</f>
        <v/>
      </c>
      <c r="E114" s="7" t="inlineStr">
        <is>
          <t>Pression commerciale. Clients demandent + IA. Cabinet doit s'adapter. Managers doivent montrer exemple.</t>
        </is>
      </c>
      <c r="F114" s="7" t="n"/>
      <c r="G114" s="7" t="inlineStr">
        <is>
          <t>T2.2 ?</t>
        </is>
      </c>
      <c r="H114" t="inlineStr">
        <is>
          <t>T5</t>
        </is>
      </c>
    </row>
    <row r="115" ht="15" customHeight="1">
      <c r="A115" s="7" t="inlineStr">
        <is>
          <t>E1</t>
        </is>
      </c>
      <c r="B115" s="12">
        <f>IFERROR(INDEX(Panel!$B$4:$B$11,MATCH($A115,Panel!$A$4:$A$11,0)),"")</f>
        <v/>
      </c>
      <c r="C115" s="7" t="inlineStr">
        <is>
          <t>T1.1</t>
        </is>
      </c>
      <c r="D115" s="12">
        <f>IFERROR(INDEX(Codebook!$B$4:$B$62,MATCH($C115,Codebook!$A$4:$A$62,0)),"")</f>
        <v/>
      </c>
      <c r="E115" s="7" t="inlineStr">
        <is>
          <t>Contradictoire : on dit maîtriser IA, mais pas formation, pas temps.</t>
        </is>
      </c>
      <c r="F115" s="7" t="n"/>
      <c r="G115" s="7" t="n"/>
      <c r="H115" t="inlineStr">
        <is>
          <t>T5</t>
        </is>
      </c>
    </row>
    <row r="116" ht="15" customHeight="1">
      <c r="A116" s="7" t="inlineStr">
        <is>
          <t>E2</t>
        </is>
      </c>
      <c r="B116" s="12">
        <f>IFERROR(INDEX(Panel!$B$4:$B$11,MATCH($A116,Panel!$A$4:$A$11,0)),"")</f>
        <v/>
      </c>
      <c r="C116" s="7" t="inlineStr">
        <is>
          <t>A1.1</t>
        </is>
      </c>
      <c r="D116" s="12">
        <f>IFERROR(INDEX(Codebook!$B$4:$B$62,MATCH($C116,Codebook!$A$4:$A$62,0)),"")</f>
        <v/>
      </c>
      <c r="E116" s="7" t="inlineStr">
        <is>
          <t>Ce matin. [Fonction de recherche de l'outil]. Recherche [espaces documentaires internes]. Projet similaire. Superprompt précis. Tourné 25 min. Synthèse parfaite. Des heures manuellement.</t>
        </is>
      </c>
      <c r="F116" s="7" t="n"/>
      <c r="G116" s="7" t="inlineStr">
        <is>
          <t>A1.2 ?</t>
        </is>
      </c>
      <c r="H116" t="inlineStr">
        <is>
          <t>T1</t>
        </is>
      </c>
    </row>
    <row r="117" ht="15" customHeight="1">
      <c r="A117" s="7" t="inlineStr">
        <is>
          <t>E2</t>
        </is>
      </c>
      <c r="B117" s="12">
        <f>IFERROR(INDEX(Panel!$B$4:$B$11,MATCH($A117,Panel!$A$4:$A$11,0)),"")</f>
        <v/>
      </c>
      <c r="C117" s="7" t="inlineStr">
        <is>
          <t>B2.1</t>
        </is>
      </c>
      <c r="D117" s="12">
        <f>IFERROR(INDEX(Codebook!$B$4:$B$62,MATCH($C117,Codebook!$A$4:$A$62,0)),"")</f>
        <v/>
      </c>
      <c r="E117" s="7" t="inlineStr">
        <is>
          <t>Accélérateur de compétence, pas substitut.</t>
        </is>
      </c>
      <c r="F117" s="7" t="n"/>
      <c r="G117" s="7" t="n"/>
      <c r="H117" t="inlineStr">
        <is>
          <t>T1</t>
        </is>
      </c>
    </row>
    <row r="118" ht="15" customHeight="1">
      <c r="A118" s="7" t="inlineStr">
        <is>
          <t>E2</t>
        </is>
      </c>
      <c r="B118" s="12">
        <f>IFERROR(INDEX(Panel!$B$4:$B$11,MATCH($A118,Panel!$A$4:$A$11,0)),"")</f>
        <v/>
      </c>
      <c r="C118" s="7" t="inlineStr">
        <is>
          <t>A1.3</t>
        </is>
      </c>
      <c r="D118" s="12">
        <f>IFERROR(INDEX(Codebook!$B$4:$B$62,MATCH($C118,Codebook!$A$4:$A$62,0)),"")</f>
        <v/>
      </c>
      <c r="E118" s="7" t="inlineStr">
        <is>
          <t>Tout. Pitchs structures/angles. Livrables premiers jets. Veille concurrentielle.</t>
        </is>
      </c>
      <c r="F118" s="7" t="n"/>
      <c r="G118" s="7" t="inlineStr">
        <is>
          <t>A1.1 ?</t>
        </is>
      </c>
      <c r="H118" t="inlineStr">
        <is>
          <t>T1</t>
        </is>
      </c>
    </row>
    <row r="119" ht="15" customHeight="1">
      <c r="A119" s="7" t="inlineStr">
        <is>
          <t>E2</t>
        </is>
      </c>
      <c r="B119" s="12">
        <f>IFERROR(INDEX(Panel!$B$4:$B$11,MATCH($A119,Panel!$A$4:$A$11,0)),"")</f>
        <v/>
      </c>
      <c r="C119" s="7" t="inlineStr">
        <is>
          <t>A2.1</t>
        </is>
      </c>
      <c r="D119" s="12">
        <f>IFERROR(INDEX(Codebook!$B$4:$B$62,MATCH($C119,Codebook!$A$4:$A$62,0)),"")</f>
        <v/>
      </c>
      <c r="E119" s="7" t="inlineStr">
        <is>
          <t>Jamais données confidentielles dans outils non-officiels. Vérifie tout. Outil, pas fin.</t>
        </is>
      </c>
      <c r="F119" s="7" t="n"/>
      <c r="G119" s="7" t="inlineStr">
        <is>
          <t>Suppose un recours à ces outils pour le reste</t>
        </is>
      </c>
      <c r="H119" t="inlineStr">
        <is>
          <t>T1</t>
        </is>
      </c>
    </row>
    <row r="120" ht="15" customHeight="1">
      <c r="A120" s="7" t="inlineStr">
        <is>
          <t>E2</t>
        </is>
      </c>
      <c r="B120" s="12">
        <f>IFERROR(INDEX(Panel!$B$4:$B$11,MATCH($A120,Panel!$A$4:$A$11,0)),"")</f>
        <v/>
      </c>
      <c r="C120" s="7" t="inlineStr">
        <is>
          <t>A3.1</t>
        </is>
      </c>
      <c r="D120" s="12">
        <f>IFERROR(INDEX(Codebook!$B$4:$B$62,MATCH($C120,Codebook!$A$4:$A$62,0)),"")</f>
        <v/>
      </c>
      <c r="E120" s="7" t="inlineStr">
        <is>
          <t>Autodidacte. Sponsor [practice concernée]. Suis presse. Teste nouveautés. Partage prompts qui marchent.</t>
        </is>
      </c>
      <c r="F120" s="7" t="n"/>
      <c r="G120" s="7" t="inlineStr">
        <is>
          <t>A3.2 ?</t>
        </is>
      </c>
      <c r="H120" t="inlineStr">
        <is>
          <t>T1</t>
        </is>
      </c>
    </row>
    <row r="121" ht="15" customHeight="1">
      <c r="A121" s="7" t="inlineStr">
        <is>
          <t>E2</t>
        </is>
      </c>
      <c r="B121" s="12">
        <f>IFERROR(INDEX(Panel!$B$4:$B$11,MATCH($A121,Panel!$A$4:$A$11,0)),"")</f>
        <v/>
      </c>
      <c r="C121" s="7" t="inlineStr">
        <is>
          <t>A4.1</t>
        </is>
      </c>
      <c r="D121" s="12">
        <f>IFERROR(INDEX(Codebook!$B$4:$B$62,MATCH($C121,Codebook!$A$4:$A$62,0)),"")</f>
        <v/>
      </c>
      <c r="E121" s="7" t="inlineStr">
        <is>
          <t>Relation client. Recherche/rédaction/structuration -&gt; réinvesti écoute, compréhension besoins.</t>
        </is>
      </c>
      <c r="F121" s="7" t="n"/>
      <c r="G121" s="7" t="inlineStr">
        <is>
          <t>Exception au réinvestissement en vérification — C1.1 ?</t>
        </is>
      </c>
      <c r="H121" t="inlineStr">
        <is>
          <t>T1</t>
        </is>
      </c>
    </row>
    <row r="122" ht="15" customHeight="1">
      <c r="A122" s="7" t="inlineStr">
        <is>
          <t>E2</t>
        </is>
      </c>
      <c r="B122" s="12">
        <f>IFERROR(INDEX(Panel!$B$4:$B$11,MATCH($A122,Panel!$A$4:$A$11,0)),"")</f>
        <v/>
      </c>
      <c r="C122" s="7" t="inlineStr">
        <is>
          <t>C3.1</t>
        </is>
      </c>
      <c r="D122" s="12">
        <f>IFERROR(INDEX(Codebook!$B$4:$B$62,MATCH($C122,Codebook!$A$4:$A$62,0)),"")</f>
        <v/>
      </c>
      <c r="E122" s="7" t="inlineStr">
        <is>
          <t>Cœur métier = comprendre, pas produire. IA permet mieux comprendre. Plus temps pour creuser, challenger client.</t>
        </is>
      </c>
      <c r="F122" s="7" t="n"/>
      <c r="G122" s="7" t="inlineStr">
        <is>
          <t>A4.1 ?</t>
        </is>
      </c>
      <c r="H122" t="inlineStr">
        <is>
          <t>T1</t>
        </is>
      </c>
    </row>
    <row r="123" ht="15" customHeight="1">
      <c r="A123" s="7" t="inlineStr">
        <is>
          <t>E2</t>
        </is>
      </c>
      <c r="B123" s="12">
        <f>IFERROR(INDEX(Panel!$B$4:$B$11,MATCH($A123,Panel!$A$4:$A$11,0)),"")</f>
        <v/>
      </c>
      <c r="C123" s="7" t="inlineStr">
        <is>
          <t>A2.2</t>
        </is>
      </c>
      <c r="D123" s="12">
        <f>IFERROR(INDEX(Codebook!$B$4:$B$62,MATCH($C123,Codebook!$A$4:$A$62,0)),"")</f>
        <v/>
      </c>
      <c r="E123" s="7" t="inlineStr">
        <is>
          <t>Rare. Sais quand utiliser. Sujets spécifiques/techniques/données sensibles = direct.</t>
        </is>
      </c>
      <c r="F123" s="7" t="n"/>
      <c r="G123" s="7" t="inlineStr">
        <is>
          <t>A4.3 ?</t>
        </is>
      </c>
      <c r="H123" t="inlineStr">
        <is>
          <t>T1</t>
        </is>
      </c>
    </row>
    <row r="124" ht="15" customHeight="1">
      <c r="A124" s="7" t="inlineStr">
        <is>
          <t>E2</t>
        </is>
      </c>
      <c r="B124" s="12">
        <f>IFERROR(INDEX(Panel!$B$4:$B$11,MATCH($A124,Panel!$A$4:$A$11,0)),"")</f>
        <v/>
      </c>
      <c r="C124" s="7" t="inlineStr">
        <is>
          <t>A4.1</t>
        </is>
      </c>
      <c r="D124" s="12">
        <f>IFERROR(INDEX(Codebook!$B$4:$B$62,MATCH($C124,Codebook!$A$4:$A$62,0)),"")</f>
        <v/>
      </c>
      <c r="E124" s="7" t="inlineStr">
        <is>
          <t>80 % du travail gain net. Savoir où pertinent, où pas.</t>
        </is>
      </c>
      <c r="F124" s="7" t="n"/>
      <c r="G124" s="7" t="n"/>
      <c r="H124" t="inlineStr">
        <is>
          <t>T1</t>
        </is>
      </c>
    </row>
    <row r="125" ht="15" customHeight="1">
      <c r="A125" s="7" t="inlineStr">
        <is>
          <t>E2</t>
        </is>
      </c>
      <c r="B125" s="12">
        <f>IFERROR(INDEX(Panel!$B$4:$B$11,MATCH($A125,Panel!$A$4:$A$11,0)),"")</f>
        <v/>
      </c>
      <c r="C125" s="7" t="inlineStr">
        <is>
          <t>A4.3</t>
        </is>
      </c>
      <c r="D125" s="12">
        <f>IFERROR(INDEX(Codebook!$B$4:$B$62,MATCH($C125,Codebook!$A$4:$A$62,0)),"")</f>
        <v/>
      </c>
      <c r="E125" s="7" t="inlineStr">
        <is>
          <t>Beaucoup. Certains réticents. Peur contrôle, déshumanisation. Moi pense inverse. IA rend plus pertinent.</t>
        </is>
      </c>
      <c r="F125" s="7" t="n"/>
      <c r="G125" s="7" t="inlineStr">
        <is>
          <t>T1.2 ?</t>
        </is>
      </c>
      <c r="H125" t="inlineStr">
        <is>
          <t>T1</t>
        </is>
      </c>
    </row>
    <row r="126" ht="15" customHeight="1">
      <c r="A126" s="7" t="inlineStr">
        <is>
          <t>E2</t>
        </is>
      </c>
      <c r="B126" s="12">
        <f>IFERROR(INDEX(Panel!$B$4:$B$11,MATCH($A126,Panel!$A$4:$A$11,0)),"")</f>
        <v/>
      </c>
      <c r="C126" s="7" t="inlineStr">
        <is>
          <t>T2.1</t>
        </is>
      </c>
      <c r="D126" s="12">
        <f>IFERROR(INDEX(Codebook!$B$4:$B$62,MATCH($C126,Codebook!$A$4:$A$62,0)),"")</f>
        <v/>
      </c>
      <c r="E126" s="7" t="inlineStr">
        <is>
          <t>Débat pas fini. Techno rupture prend temps. Mon rôle = accompagner transition.</t>
        </is>
      </c>
      <c r="F126" s="7" t="n"/>
      <c r="G126" s="7" t="n"/>
      <c r="H126" t="inlineStr">
        <is>
          <t>T1</t>
        </is>
      </c>
    </row>
    <row r="127" ht="15" customHeight="1">
      <c r="A127" s="7" t="inlineStr">
        <is>
          <t>E2</t>
        </is>
      </c>
      <c r="B127" s="12">
        <f>IFERROR(INDEX(Panel!$B$4:$B$11,MATCH($A127,Panel!$A$4:$A$11,0)),"")</f>
        <v/>
      </c>
      <c r="C127" s="7" t="inlineStr">
        <is>
          <t>B2.1</t>
        </is>
      </c>
      <c r="D127" s="12">
        <f>IFERROR(INDEX(Codebook!$B$4:$B$62,MATCH($C127,Codebook!$A$4:$A$62,0)),"")</f>
        <v/>
      </c>
      <c r="E127" s="7" t="inlineStr">
        <is>
          <t>Différemment. Avant : heures chercher, structurer, rédiger. Junior fait fraction temps.</t>
        </is>
      </c>
      <c r="F127" s="7" t="n"/>
      <c r="G127" s="7" t="inlineStr">
        <is>
          <t>B2.2 ?</t>
        </is>
      </c>
      <c r="H127" t="inlineStr">
        <is>
          <t>T2</t>
        </is>
      </c>
    </row>
    <row r="128" ht="15" customHeight="1">
      <c r="A128" s="7" t="inlineStr">
        <is>
          <t>E2</t>
        </is>
      </c>
      <c r="B128" s="12">
        <f>IFERROR(INDEX(Panel!$B$4:$B$11,MATCH($A128,Panel!$A$4:$A$11,0)),"")</f>
        <v/>
      </c>
      <c r="C128" s="7" t="inlineStr">
        <is>
          <t>B2.3</t>
        </is>
      </c>
      <c r="D128" s="12">
        <f>IFERROR(INDEX(Codebook!$B$4:$B$62,MATCH($C128,Codebook!$A$4:$A$62,0)),"")</f>
        <v/>
      </c>
      <c r="E128" s="7" t="inlineStr">
        <is>
          <t>Mais doit apprendre autre chose : vérifier, critiquer, s'assurer pertinence. Déplacement compétences, pas disparition.</t>
        </is>
      </c>
      <c r="F128" s="7" t="n"/>
      <c r="G128" s="7" t="n"/>
      <c r="H128" t="inlineStr">
        <is>
          <t>T2</t>
        </is>
      </c>
    </row>
    <row r="129" ht="15" customHeight="1">
      <c r="A129" s="7" t="inlineStr">
        <is>
          <t>E2</t>
        </is>
      </c>
      <c r="B129" s="12">
        <f>IFERROR(INDEX(Panel!$B$4:$B$11,MATCH($A129,Panel!$A$4:$A$11,0)),"")</f>
        <v/>
      </c>
      <c r="C129" s="7" t="inlineStr">
        <is>
          <t>B2.3</t>
        </is>
      </c>
      <c r="D129" s="12">
        <f>IFERROR(INDEX(Codebook!$B$4:$B$62,MATCH($C129,Codebook!$A$4:$A$62,0)),"")</f>
        <v/>
      </c>
      <c r="E129" s="7" t="inlineStr">
        <is>
          <t>Bon consultant = sait poser bonnes questions, évaluer réponses. Compétence nouvelle à enseigner.</t>
        </is>
      </c>
      <c r="F129" s="7" t="n"/>
      <c r="G129" s="7" t="n"/>
      <c r="H129" t="inlineStr">
        <is>
          <t>T2</t>
        </is>
      </c>
    </row>
    <row r="130" ht="15" customHeight="1">
      <c r="A130" s="7" t="inlineStr">
        <is>
          <t>E2</t>
        </is>
      </c>
      <c r="B130" s="12">
        <f>IFERROR(INDEX(Panel!$B$4:$B$11,MATCH($A130,Panel!$A$4:$A$11,0)),"")</f>
        <v/>
      </c>
      <c r="C130" s="7" t="inlineStr">
        <is>
          <t>A2.3</t>
        </is>
      </c>
      <c r="D130" s="12">
        <f>IFERROR(INDEX(Codebook!$B$4:$B$62,MATCH($C130,Codebook!$A$4:$A$62,0)),"")</f>
        <v/>
      </c>
      <c r="E130" s="7" t="inlineStr">
        <is>
          <t>Contact client. IA produit contenu, pas sentir hésitation, non-dit, culture.</t>
        </is>
      </c>
      <c r="F130" s="7" t="n"/>
      <c r="G130" s="7" t="inlineStr">
        <is>
          <t>C1.1 ?</t>
        </is>
      </c>
      <c r="H130" t="inlineStr">
        <is>
          <t>T2</t>
        </is>
      </c>
    </row>
    <row r="131" ht="15" customHeight="1">
      <c r="A131" s="7" t="inlineStr">
        <is>
          <t>E2</t>
        </is>
      </c>
      <c r="B131" s="12">
        <f>IFERROR(INDEX(Panel!$B$4:$B$11,MATCH($A131,Panel!$A$4:$A$11,0)),"")</f>
        <v/>
      </c>
      <c r="C131" s="7" t="inlineStr">
        <is>
          <t>B3.3</t>
        </is>
      </c>
      <c r="D131" s="12">
        <f>IFERROR(INDEX(Codebook!$B$4:$B$62,MATCH($C131,Codebook!$A$4:$A$62,0)),"")</f>
        <v/>
      </c>
      <c r="E131" s="7" t="inlineStr">
        <is>
          <t>Dis juniors : « IA pour gagner temps, mais utilise temps terrain, échanger, observer. »</t>
        </is>
      </c>
      <c r="F131" s="7" t="n"/>
      <c r="G131" s="7" t="inlineStr">
        <is>
          <t>T2.2 ?</t>
        </is>
      </c>
      <c r="H131" t="inlineStr">
        <is>
          <t>T2</t>
        </is>
      </c>
    </row>
    <row r="132" ht="15" customHeight="1">
      <c r="A132" s="7" t="inlineStr">
        <is>
          <t>E2</t>
        </is>
      </c>
      <c r="B132" s="12">
        <f>IFERROR(INDEX(Panel!$B$4:$B$11,MATCH($A132,Panel!$A$4:$A$11,0)),"")</f>
        <v/>
      </c>
      <c r="C132" s="7" t="inlineStr">
        <is>
          <t>B1.1</t>
        </is>
      </c>
      <c r="D132" s="12">
        <f>IFERROR(INDEX(Codebook!$B$4:$B$62,MATCH($C132,Codebook!$A$4:$A$62,0)),"")</f>
        <v/>
      </c>
      <c r="E132" s="7" t="inlineStr">
        <is>
          <t>Formatives, mais pas même proportion. Juniors doivent faire 1x manuel pour comprendre difficulté.</t>
        </is>
      </c>
      <c r="F132" s="7" t="n"/>
      <c r="G132" s="7" t="n"/>
      <c r="H132" t="inlineStr">
        <is>
          <t>T2</t>
        </is>
      </c>
    </row>
    <row r="133" ht="15" customHeight="1">
      <c r="A133" s="7" t="inlineStr">
        <is>
          <t>E2</t>
        </is>
      </c>
      <c r="B133" s="12">
        <f>IFERROR(INDEX(Panel!$B$4:$B$11,MATCH($A133,Panel!$A$4:$A$11,0)),"")</f>
        <v/>
      </c>
      <c r="C133" s="7" t="inlineStr">
        <is>
          <t>B1.1</t>
        </is>
      </c>
      <c r="D133" s="12">
        <f>IFERROR(INDEX(Codebook!$B$4:$B$62,MATCH($C133,Codebook!$A$4:$A$62,0)),"")</f>
        <v/>
      </c>
      <c r="E133" s="7" t="inlineStr">
        <is>
          <t>1x compris, encourage IA pour aller vite. Déléguer tout IA sans jamais fait = sauras pas évaluer.</t>
        </is>
      </c>
      <c r="F133" s="7" t="n"/>
      <c r="G133" s="7" t="inlineStr">
        <is>
          <t>B2.2 ?</t>
        </is>
      </c>
      <c r="H133" t="inlineStr">
        <is>
          <t>T2</t>
        </is>
      </c>
    </row>
    <row r="134" ht="15" customHeight="1">
      <c r="A134" s="7" t="inlineStr">
        <is>
          <t>E2</t>
        </is>
      </c>
      <c r="B134" s="12">
        <f>IFERROR(INDEX(Panel!$B$4:$B$11,MATCH($A134,Panel!$A$4:$A$11,0)),"")</f>
        <v/>
      </c>
      <c r="C134" s="7" t="inlineStr">
        <is>
          <t>D2.3</t>
        </is>
      </c>
      <c r="D134" s="12">
        <f>IFERROR(INDEX(Codebook!$B$4:$B$62,MATCH($C134,Codebook!$A$4:$A$62,0)),"")</f>
        <v/>
      </c>
      <c r="E134" s="7" t="inlineStr">
        <is>
          <t>Pas différemment. Qualité, cohérence, pertinence. IA ou pas change pas fond.</t>
        </is>
      </c>
      <c r="F134" s="7" t="n"/>
      <c r="G134" s="7" t="inlineStr">
        <is>
          <t>À opposer à E1 : contrôle inchangé faute d'incident — D2.1 ?</t>
        </is>
      </c>
      <c r="H134" t="inlineStr">
        <is>
          <t>T2</t>
        </is>
      </c>
    </row>
    <row r="135" ht="15" customHeight="1">
      <c r="A135" s="7" t="inlineStr">
        <is>
          <t>E2</t>
        </is>
      </c>
      <c r="B135" s="12">
        <f>IFERROR(INDEX(Panel!$B$4:$B$11,MATCH($A135,Panel!$A$4:$A$11,0)),"")</f>
        <v/>
      </c>
      <c r="C135" s="7" t="inlineStr">
        <is>
          <t>B2.3</t>
        </is>
      </c>
      <c r="D135" s="12">
        <f>IFERROR(INDEX(Codebook!$B$4:$B$62,MATCH($C135,Codebook!$A$4:$A$62,0)),"")</f>
        <v/>
      </c>
      <c r="E135" s="7" t="inlineStr">
        <is>
          <t>Copie IA = coquille vide. Jugement/compréhension/nuance = ce que veux voir. Outil, pas remplaçant.</t>
        </is>
      </c>
      <c r="F135" s="7" t="n"/>
      <c r="G135" s="7" t="inlineStr">
        <is>
          <t>B2.2 ?</t>
        </is>
      </c>
      <c r="H135" t="inlineStr">
        <is>
          <t>T2</t>
        </is>
      </c>
    </row>
    <row r="136" ht="15" customHeight="1">
      <c r="A136" s="7" t="inlineStr">
        <is>
          <t>E2</t>
        </is>
      </c>
      <c r="B136" s="12">
        <f>IFERROR(INDEX(Panel!$B$4:$B$11,MATCH($A136,Panel!$A$4:$A$11,0)),"")</f>
        <v/>
      </c>
      <c r="C136" s="7" t="inlineStr">
        <is>
          <t>C1.1</t>
        </is>
      </c>
      <c r="D136" s="12">
        <f>IFERROR(INDEX(Codebook!$B$4:$B$62,MATCH($C136,Codebook!$A$4:$A$62,0)),"")</f>
        <v/>
      </c>
      <c r="E136" s="7" t="inlineStr">
        <is>
          <t>Être en avance. Anticiper besoins, proposer solutions pas imaginées. Client paie vision, pas temps production.</t>
        </is>
      </c>
      <c r="F136" s="7" t="n"/>
      <c r="G136" s="7" t="inlineStr">
        <is>
          <t>C4.1 ?</t>
        </is>
      </c>
      <c r="H136" t="inlineStr">
        <is>
          <t>T3</t>
        </is>
      </c>
    </row>
    <row r="137" ht="15" customHeight="1">
      <c r="A137" s="7" t="inlineStr">
        <is>
          <t>E2</t>
        </is>
      </c>
      <c r="B137" s="12">
        <f>IFERROR(INDEX(Panel!$B$4:$B$11,MATCH($A137,Panel!$A$4:$A$11,0)),"")</f>
        <v/>
      </c>
      <c r="C137" s="7" t="inlineStr">
        <is>
          <t>C2.1</t>
        </is>
      </c>
      <c r="D137" s="12">
        <f>IFERROR(INDEX(Codebook!$B$4:$B$62,MATCH($C137,Codebook!$A$4:$A$62,0)),"")</f>
        <v/>
      </c>
      <c r="E137" s="7" t="inlineStr">
        <is>
          <t>Très souvent. J'aborde volontairement. Dis : « IA pour être + pertinents, + rapides, + créatifs. Partenaire, pas substitut. »</t>
        </is>
      </c>
      <c r="F137" s="7" t="n"/>
      <c r="G137" s="7" t="n"/>
      <c r="H137" t="inlineStr">
        <is>
          <t>T3</t>
        </is>
      </c>
    </row>
    <row r="138" ht="15" customHeight="1">
      <c r="A138" s="7" t="inlineStr">
        <is>
          <t>E2</t>
        </is>
      </c>
      <c r="B138" s="12">
        <f>IFERROR(INDEX(Panel!$B$4:$B$11,MATCH($A138,Panel!$A$4:$A$11,0)),"")</f>
        <v/>
      </c>
      <c r="C138" s="7" t="inlineStr">
        <is>
          <t>C2.1</t>
        </is>
      </c>
      <c r="D138" s="12">
        <f>IFERROR(INDEX(Codebook!$B$4:$B$62,MATCH($C138,Codebook!$A$4:$A$62,0)),"")</f>
        <v/>
      </c>
      <c r="E138" s="7" t="inlineStr">
        <is>
          <t>Clients apprécient transparence. Veulent savoir à pointe. Argument commercial. Pas cacher.</t>
        </is>
      </c>
      <c r="F138" s="7" t="n"/>
      <c r="G138" s="7" t="n"/>
      <c r="H138" t="inlineStr">
        <is>
          <t>T3</t>
        </is>
      </c>
    </row>
    <row r="139" ht="15" customHeight="1">
      <c r="A139" s="7" t="inlineStr">
        <is>
          <t>E2</t>
        </is>
      </c>
      <c r="B139" s="12">
        <f>IFERROR(INDEX(Panel!$B$4:$B$11,MATCH($A139,Panel!$A$4:$A$11,0)),"")</f>
        <v/>
      </c>
      <c r="C139" s="7" t="inlineStr">
        <is>
          <t>C2.1</t>
        </is>
      </c>
      <c r="D139" s="12">
        <f>IFERROR(INDEX(Codebook!$B$4:$B$62,MATCH($C139,Codebook!$A$4:$A$62,0)),"")</f>
        <v/>
      </c>
      <c r="E139" s="7" t="inlineStr">
        <is>
          <t>Oui. « IA pour produire, retravaillé adapté besoins. » Client comprend. Utilise peut-être IA. Qualité produit final compte, pas méthode.</t>
        </is>
      </c>
      <c r="F139" s="7" t="n"/>
      <c r="G139" s="7" t="inlineStr">
        <is>
          <t>Seul répondant transparent — C1.2 ?</t>
        </is>
      </c>
      <c r="H139" t="inlineStr">
        <is>
          <t>T3</t>
        </is>
      </c>
    </row>
    <row r="140" ht="15" customHeight="1">
      <c r="A140" s="7" t="inlineStr">
        <is>
          <t>E2</t>
        </is>
      </c>
      <c r="B140" s="12">
        <f>IFERROR(INDEX(Panel!$B$4:$B$11,MATCH($A140,Panel!$A$4:$A$11,0)),"")</f>
        <v/>
      </c>
      <c r="C140" s="7" t="inlineStr">
        <is>
          <t>C1.1</t>
        </is>
      </c>
      <c r="D140" s="12">
        <f>IFERROR(INDEX(Codebook!$B$4:$B$62,MATCH($C140,Codebook!$A$4:$A$62,0)),"")</f>
        <v/>
      </c>
      <c r="E140" s="7" t="inlineStr">
        <is>
          <t>Manque personnalisation. IA générique. Problème jugement, pas technologie.</t>
        </is>
      </c>
      <c r="F140" s="7" t="n"/>
      <c r="G140" s="7" t="inlineStr">
        <is>
          <t>C3.1 ?</t>
        </is>
      </c>
      <c r="H140" t="inlineStr">
        <is>
          <t>T3</t>
        </is>
      </c>
    </row>
    <row r="141" ht="15" customHeight="1">
      <c r="A141" s="7" t="inlineStr">
        <is>
          <t>E2</t>
        </is>
      </c>
      <c r="B141" s="12">
        <f>IFERROR(INDEX(Panel!$B$4:$B$11,MATCH($A141,Panel!$A$4:$A$11,0)),"")</f>
        <v/>
      </c>
      <c r="C141" s="7" t="inlineStr">
        <is>
          <t>T2.1</t>
        </is>
      </c>
      <c r="D141" s="12">
        <f>IFERROR(INDEX(Codebook!$B$4:$B$62,MATCH($C141,Codebook!$A$4:$A$62,0)),"")</f>
        <v/>
      </c>
      <c r="E141" s="7" t="inlineStr">
        <is>
          <t>Intuition et relation. Consultant = « traducteur » entre IA et client. Rôle nouveau, passionnant.</t>
        </is>
      </c>
      <c r="F141" s="7" t="n"/>
      <c r="G141" s="7" t="inlineStr">
        <is>
          <t>C3.1 ?</t>
        </is>
      </c>
      <c r="H141" t="inlineStr">
        <is>
          <t>T3</t>
        </is>
      </c>
    </row>
    <row r="142" ht="15" customHeight="1">
      <c r="A142" s="7" t="inlineStr">
        <is>
          <t>E2</t>
        </is>
      </c>
      <c r="B142" s="12">
        <f>IFERROR(INDEX(Panel!$B$4:$B$11,MATCH($A142,Panel!$A$4:$A$11,0)),"")</f>
        <v/>
      </c>
      <c r="C142" s="7" t="inlineStr">
        <is>
          <t>D1.1</t>
        </is>
      </c>
      <c r="D142" s="12">
        <f>IFERROR(INDEX(Codebook!$B$4:$B$62,MATCH($C142,Codebook!$A$4:$A$62,0)),"")</f>
        <v/>
      </c>
      <c r="E142" s="7" t="inlineStr">
        <is>
          <t>Politique. Trop timide. Autorise [outil homologué], interdit autres. Pas dit comment vérifier, assurer qualité.</t>
        </is>
      </c>
      <c r="F142" s="7" t="n"/>
      <c r="G142" s="7" t="inlineStr">
        <is>
          <t>D5.2 ?</t>
        </is>
      </c>
      <c r="H142" t="inlineStr">
        <is>
          <t>T4</t>
        </is>
      </c>
    </row>
    <row r="143" ht="15" customHeight="1">
      <c r="A143" s="7" t="inlineStr">
        <is>
          <t>E2</t>
        </is>
      </c>
      <c r="B143" s="12">
        <f>IFERROR(INDEX(Panel!$B$4:$B$11,MATCH($A143,Panel!$A$4:$A$11,0)),"")</f>
        <v/>
      </c>
      <c r="C143" s="7" t="inlineStr">
        <is>
          <t>D5.2</t>
        </is>
      </c>
      <c r="D143" s="12">
        <f>IFERROR(INDEX(Codebook!$B$4:$B$62,MATCH($C143,Codebook!$A$4:$A$62,0)),"")</f>
        <v/>
      </c>
      <c r="E143" s="7" t="inlineStr">
        <is>
          <t>Sponsor [practice concernée] = aider construire règles. Pas freiner, sécuriser. Règle claire = protection, pas entrave.</t>
        </is>
      </c>
      <c r="F143" s="7" t="n"/>
      <c r="G143" s="7" t="inlineStr">
        <is>
          <t>T2.2 ?</t>
        </is>
      </c>
      <c r="H143" t="inlineStr">
        <is>
          <t>T4</t>
        </is>
      </c>
    </row>
    <row r="144" ht="15" customHeight="1">
      <c r="A144" s="7" t="inlineStr">
        <is>
          <t>E2</t>
        </is>
      </c>
      <c r="B144" s="12">
        <f>IFERROR(INDEX(Panel!$B$4:$B$11,MATCH($A144,Panel!$A$4:$A$11,0)),"")</f>
        <v/>
      </c>
      <c r="C144" s="7" t="inlineStr">
        <is>
          <t>D2.1</t>
        </is>
      </c>
      <c r="D144" s="12">
        <f>IFERROR(INDEX(Codebook!$B$4:$B$62,MATCH($C144,Codebook!$A$4:$A$62,0)),"")</f>
        <v/>
      </c>
      <c r="E144" s="7" t="inlineStr">
        <is>
          <t>Revue. Pas diff entre IA/non-IA. Consultant justifie ce qu'il met. Demande « pourquoi » pas « qu'est-ce ».</t>
        </is>
      </c>
      <c r="F144" s="7" t="n"/>
      <c r="G144" s="7" t="inlineStr">
        <is>
          <t>D2.3 ?</t>
        </is>
      </c>
      <c r="H144" t="inlineStr">
        <is>
          <t>T4</t>
        </is>
      </c>
    </row>
    <row r="145" ht="15" customHeight="1">
      <c r="A145" s="7" t="inlineStr">
        <is>
          <t>E2</t>
        </is>
      </c>
      <c r="B145" s="12">
        <f>IFERROR(INDEX(Panel!$B$4:$B$11,MATCH($A145,Panel!$A$4:$A$11,0)),"")</f>
        <v/>
      </c>
      <c r="C145" s="7" t="inlineStr">
        <is>
          <t>D3.1</t>
        </is>
      </c>
      <c r="D145" s="12">
        <f>IFERROR(INDEX(Codebook!$B$4:$B$62,MATCH($C145,Codebook!$A$4:$A$62,0)),"")</f>
        <v/>
      </c>
      <c r="E145" s="7" t="inlineStr">
        <is>
          <t>Oui. Pas plus qu'erreurs humaines. Erreur IA + facile détecter si sais chercher.</t>
        </is>
      </c>
      <c r="F145" s="7" t="n"/>
      <c r="G145" s="7" t="inlineStr">
        <is>
          <t>B2.3 ?</t>
        </is>
      </c>
      <c r="H145" t="inlineStr">
        <is>
          <t>T4</t>
        </is>
      </c>
    </row>
    <row r="146" ht="15" customHeight="1">
      <c r="A146" s="7" t="inlineStr">
        <is>
          <t>E2</t>
        </is>
      </c>
      <c r="B146" s="12">
        <f>IFERROR(INDEX(Panel!$B$4:$B$11,MATCH($A146,Panel!$A$4:$A$11,0)),"")</f>
        <v/>
      </c>
      <c r="C146" s="7" t="inlineStr">
        <is>
          <t>B2.3</t>
        </is>
      </c>
      <c r="D146" s="12">
        <f>IFERROR(INDEX(Codebook!$B$4:$B$62,MATCH($C146,Codebook!$A$4:$A$62,0)),"")</f>
        <v/>
      </c>
      <c r="E146" s="7" t="inlineStr">
        <is>
          <t>Forme équipes vérification critique. Compétence, pas défiance.</t>
        </is>
      </c>
      <c r="F146" s="7" t="n"/>
      <c r="G146" s="7" t="inlineStr">
        <is>
          <t>A3.3 ?</t>
        </is>
      </c>
      <c r="H146" t="inlineStr">
        <is>
          <t>T4</t>
        </is>
      </c>
    </row>
    <row r="147" ht="15" customHeight="1">
      <c r="A147" s="7" t="inlineStr">
        <is>
          <t>E2</t>
        </is>
      </c>
      <c r="B147" s="12">
        <f>IFERROR(INDEX(Panel!$B$4:$B$11,MATCH($A147,Panel!$A$4:$A$11,0)),"")</f>
        <v/>
      </c>
      <c r="C147" s="7" t="inlineStr">
        <is>
          <t>T2.2</t>
        </is>
      </c>
      <c r="D147" s="12">
        <f>IFERROR(INDEX(Codebook!$B$4:$B$62,MATCH($C147,Codebook!$A$4:$A$62,0)),"")</f>
        <v/>
      </c>
      <c r="E147" s="7" t="inlineStr">
        <is>
          <t>« IA outil amplification. Utilisez pour aller + loin, pas -. » Formez vérification, critique, personnalisation. Co-pilote, pas pilote auto.</t>
        </is>
      </c>
      <c r="F147" s="7" t="n"/>
      <c r="G147" s="7" t="n"/>
      <c r="H147" t="inlineStr">
        <is>
          <t>T4</t>
        </is>
      </c>
    </row>
    <row r="148" ht="15" customHeight="1">
      <c r="A148" s="7" t="inlineStr">
        <is>
          <t>E2</t>
        </is>
      </c>
      <c r="B148" s="12">
        <f>IFERROR(INDEX(Panel!$B$4:$B$11,MATCH($A148,Panel!$A$4:$A$11,0)),"")</f>
        <v/>
      </c>
      <c r="C148" s="7" t="inlineStr">
        <is>
          <t>T2.2</t>
        </is>
      </c>
      <c r="D148" s="12">
        <f>IFERROR(INDEX(Codebook!$B$4:$B$62,MATCH($C148,Codebook!$A$4:$A$62,0)),"")</f>
        <v/>
      </c>
      <c r="E148" s="7" t="inlineStr">
        <is>
          <t>Initiative partage bonnes pratiques bureau. Pas formation descendante, espace échanges.</t>
        </is>
      </c>
      <c r="F148" s="7" t="n"/>
      <c r="G148" s="7" t="inlineStr">
        <is>
          <t>A3.2 ?</t>
        </is>
      </c>
      <c r="H148" t="inlineStr">
        <is>
          <t>T5</t>
        </is>
      </c>
    </row>
    <row r="149" ht="15" customHeight="1">
      <c r="A149" s="7" t="inlineStr">
        <is>
          <t>E2</t>
        </is>
      </c>
      <c r="B149" s="12">
        <f>IFERROR(INDEX(Panel!$B$4:$B$11,MATCH($A149,Panel!$A$4:$A$11,0)),"")</f>
        <v/>
      </c>
      <c r="C149" s="23" t="inlineStr">
        <is>
          <t>T2.1</t>
        </is>
      </c>
      <c r="D149" s="12">
        <f>IFERROR(INDEX(Codebook!$B$4:$B$62,MATCH($C149,Codebook!$A$4:$A$62,0)),"")</f>
        <v/>
      </c>
      <c r="E149" s="23" t="inlineStr">
        <is>
          <t xml:space="preserve">Image cabinet. Maîtrise IA = Avantage concurrentiel. </t>
        </is>
      </c>
      <c r="F149" s="7" t="n"/>
      <c r="G149" s="7" t="n"/>
      <c r="H149" t="inlineStr">
        <is>
          <t>T5</t>
        </is>
      </c>
    </row>
    <row r="150" ht="15" customHeight="1">
      <c r="A150" s="7" t="inlineStr">
        <is>
          <t>E3</t>
        </is>
      </c>
      <c r="B150" s="12">
        <f>IFERROR(INDEX(Panel!$B$4:$B$11,MATCH($A150,Panel!$A$4:$A$11,0)),"")</f>
        <v/>
      </c>
      <c r="C150" s="7" t="inlineStr">
        <is>
          <t>A1.2</t>
        </is>
      </c>
      <c r="D150" s="12">
        <f>IFERROR(INDEX(Codebook!$B$4:$B$62,MATCH($C150,Codebook!$A$4:$A$62,0)),"")</f>
        <v/>
      </c>
      <c r="E150" s="7" t="inlineStr">
        <is>
          <t>Semaine dernière. Synthèse. 50 pages de notes techniques -&gt; résumé pour comité de direction.</t>
        </is>
      </c>
      <c r="F150" s="7" t="n"/>
      <c r="G150" s="7" t="n"/>
      <c r="H150" t="inlineStr">
        <is>
          <t>T1</t>
        </is>
      </c>
    </row>
    <row r="151" ht="15" customHeight="1">
      <c r="A151" s="7" t="inlineStr">
        <is>
          <t>E3</t>
        </is>
      </c>
      <c r="B151" s="12">
        <f>IFERROR(INDEX(Panel!$B$4:$B$11,MATCH($A151,Panel!$A$4:$A$11,0)),"")</f>
        <v/>
      </c>
      <c r="C151" s="7" t="inlineStr">
        <is>
          <t>A1.5</t>
        </is>
      </c>
      <c r="D151" s="12">
        <f>IFERROR(INDEX(Codebook!$B$4:$B$62,MATCH($C151,Codebook!$A$4:$A$62,0)),"")</f>
        <v/>
      </c>
      <c r="E151" s="7" t="inlineStr">
        <is>
          <t>Proposé trame. 1h à retravailler, recouper avec notes. Vérifier déformations.</t>
        </is>
      </c>
      <c r="F151" s="7" t="n"/>
      <c r="G151" s="7" t="inlineStr">
        <is>
          <t>D2.2 ?</t>
        </is>
      </c>
      <c r="H151" t="inlineStr">
        <is>
          <t>T1</t>
        </is>
      </c>
    </row>
    <row r="152" ht="15" customHeight="1">
      <c r="A152" s="7" t="inlineStr">
        <is>
          <t>E3</t>
        </is>
      </c>
      <c r="B152" s="12">
        <f>IFERROR(INDEX(Panel!$B$4:$B$11,MATCH($A152,Panel!$A$4:$A$11,0)),"")</f>
        <v/>
      </c>
      <c r="C152" s="7" t="inlineStr">
        <is>
          <t>B2.3</t>
        </is>
      </c>
      <c r="D152" s="12">
        <f>IFERROR(INDEX(Codebook!$B$4:$B$62,MATCH($C152,Codebook!$A$4:$A$62,0)),"")</f>
        <v/>
      </c>
      <c r="E152" s="7" t="inlineStr">
        <is>
          <t>Jamais confiance premier jet. Assistant, pas rédacteur.</t>
        </is>
      </c>
      <c r="F152" s="7" t="n"/>
      <c r="G152" s="7" t="inlineStr">
        <is>
          <t>D2.2 ?</t>
        </is>
      </c>
      <c r="H152" t="inlineStr">
        <is>
          <t>T1</t>
        </is>
      </c>
    </row>
    <row r="153" ht="15" customHeight="1">
      <c r="A153" s="7" t="inlineStr">
        <is>
          <t>E3</t>
        </is>
      </c>
      <c r="B153" s="12">
        <f>IFERROR(INDEX(Panel!$B$4:$B$11,MATCH($A153,Panel!$A$4:$A$11,0)),"")</f>
        <v/>
      </c>
      <c r="C153" s="7" t="inlineStr">
        <is>
          <t>A1.2</t>
        </is>
      </c>
      <c r="D153" s="12">
        <f>IFERROR(INDEX(Codebook!$B$4:$B$62,MATCH($C153,Codebook!$A$4:$A$62,0)),"")</f>
        <v/>
      </c>
      <c r="E153" s="7" t="inlineStr">
        <is>
          <t>Reformulation technique -&gt; accessible. Clients pas toujours niveau tech.</t>
        </is>
      </c>
      <c r="F153" s="7" t="n"/>
      <c r="G153" s="7" t="inlineStr">
        <is>
          <t>A1.4 ?</t>
        </is>
      </c>
      <c r="H153" t="inlineStr">
        <is>
          <t>T1</t>
        </is>
      </c>
    </row>
    <row r="154" ht="15" customHeight="1">
      <c r="A154" s="7" t="inlineStr">
        <is>
          <t>E3</t>
        </is>
      </c>
      <c r="B154" s="12">
        <f>IFERROR(INDEX(Panel!$B$4:$B$11,MATCH($A154,Panel!$A$4:$A$11,0)),"")</f>
        <v/>
      </c>
      <c r="C154" s="7" t="inlineStr">
        <is>
          <t>A1.4</t>
        </is>
      </c>
      <c r="D154" s="12">
        <f>IFERROR(INDEX(Codebook!$B$4:$B$62,MATCH($C154,Codebook!$A$4:$A$62,0)),"")</f>
        <v/>
      </c>
      <c r="E154" s="7" t="inlineStr">
        <is>
          <t>Relecture. Incohérences, formulations ambigües.</t>
        </is>
      </c>
      <c r="F154" s="7" t="n"/>
      <c r="G154" s="7" t="inlineStr">
        <is>
          <t>D2.2 ?</t>
        </is>
      </c>
      <c r="H154" t="inlineStr">
        <is>
          <t>T1</t>
        </is>
      </c>
    </row>
    <row r="155" ht="15" customHeight="1">
      <c r="A155" s="7" t="inlineStr">
        <is>
          <t>E3</t>
        </is>
      </c>
      <c r="B155" s="12">
        <f>IFERROR(INDEX(Panel!$B$4:$B$11,MATCH($A155,Panel!$A$4:$A$11,0)),"")</f>
        <v/>
      </c>
      <c r="C155" s="7" t="inlineStr">
        <is>
          <t>A1.3</t>
        </is>
      </c>
      <c r="D155" s="12">
        <f>IFERROR(INDEX(Codebook!$B$4:$B$62,MATCH($C155,Codebook!$A$4:$A$62,0)),"")</f>
        <v/>
      </c>
      <c r="E155" s="7" t="inlineStr">
        <is>
          <t>Premiers jets sur sujets moins maîtrisés.</t>
        </is>
      </c>
      <c r="F155" s="7" t="n"/>
      <c r="G155" s="7" t="n"/>
      <c r="H155" t="inlineStr">
        <is>
          <t>T1</t>
        </is>
      </c>
    </row>
    <row r="156" ht="15" customHeight="1">
      <c r="A156" s="7" t="inlineStr">
        <is>
          <t>E3</t>
        </is>
      </c>
      <c r="B156" s="12">
        <f>IFERROR(INDEX(Panel!$B$4:$B$11,MATCH($A156,Panel!$A$4:$A$11,0)),"")</f>
        <v/>
      </c>
      <c r="C156" s="7" t="inlineStr">
        <is>
          <t>A2.1</t>
        </is>
      </c>
      <c r="D156" s="12">
        <f>IFERROR(INDEX(Codebook!$B$4:$B$62,MATCH($C156,Codebook!$A$4:$A$62,0)),"")</f>
        <v/>
      </c>
      <c r="E156" s="7" t="inlineStr">
        <is>
          <t>Jamais : architecture sécurité, vulnérabilités, données classifiées. Main humaine.</t>
        </is>
      </c>
      <c r="F156" s="7" t="n"/>
      <c r="G156" s="7" t="inlineStr">
        <is>
          <t>A2.2 ?</t>
        </is>
      </c>
      <c r="H156" t="inlineStr">
        <is>
          <t>T1</t>
        </is>
      </c>
    </row>
    <row r="157" ht="15" customHeight="1">
      <c r="A157" s="7" t="inlineStr">
        <is>
          <t>E3</t>
        </is>
      </c>
      <c r="B157" s="12">
        <f>IFERROR(INDEX(Panel!$B$4:$B$11,MATCH($A157,Panel!$A$4:$A$11,0)),"")</f>
        <v/>
      </c>
      <c r="C157" s="7" t="inlineStr">
        <is>
          <t>A3.1</t>
        </is>
      </c>
      <c r="D157" s="12">
        <f>IFERROR(INDEX(Codebook!$B$4:$B$62,MATCH($C157,Codebook!$A$4:$A$62,0)),"")</f>
        <v/>
      </c>
      <c r="E157" s="7" t="inlineStr">
        <is>
          <t>Tâtonné. Puis compris besoin structure. Bloc-notes avec prompts qui marchent pour tâches récurrentes.</t>
        </is>
      </c>
      <c r="F157" s="7" t="n"/>
      <c r="G157" s="7" t="n"/>
      <c r="H157" t="inlineStr">
        <is>
          <t>T1</t>
        </is>
      </c>
    </row>
    <row r="158" ht="15" customHeight="1">
      <c r="A158" s="7" t="inlineStr">
        <is>
          <t>E3</t>
        </is>
      </c>
      <c r="B158" s="12">
        <f>IFERROR(INDEX(Panel!$B$4:$B$11,MATCH($A158,Panel!$A$4:$A$11,0)),"")</f>
        <v/>
      </c>
      <c r="C158" s="7" t="inlineStr">
        <is>
          <t>A3.3</t>
        </is>
      </c>
      <c r="D158" s="12">
        <f>IFERROR(INDEX(Codebook!$B$4:$B$62,MATCH($C158,Codebook!$A$4:$A$62,0)),"")</f>
        <v/>
      </c>
      <c r="E158" s="7" t="inlineStr">
        <is>
          <t>Formation certifiante [éditeur] depuis quelques mois. Pas juste apprendre, papier à valoriser. Demande clients forte.</t>
        </is>
      </c>
      <c r="F158" s="7" t="n"/>
      <c r="G158" s="7" t="inlineStr">
        <is>
          <t>Seule formation certifiante du corpus, externe — A3.1 ?</t>
        </is>
      </c>
      <c r="H158" t="inlineStr">
        <is>
          <t>T1</t>
        </is>
      </c>
    </row>
    <row r="159" ht="15" customHeight="1">
      <c r="A159" s="7" t="inlineStr">
        <is>
          <t>E3</t>
        </is>
      </c>
      <c r="B159" s="12">
        <f>IFERROR(INDEX(Panel!$B$4:$B$11,MATCH($A159,Panel!$A$4:$A$11,0)),"")</f>
        <v/>
      </c>
      <c r="C159" s="7" t="inlineStr">
        <is>
          <t>A4.1</t>
        </is>
      </c>
      <c r="D159" s="12">
        <f>IFERROR(INDEX(Codebook!$B$4:$B$62,MATCH($C159,Codebook!$A$4:$A$62,0)),"")</f>
        <v/>
      </c>
      <c r="E159" s="7" t="inlineStr">
        <is>
          <t>Synthèse : gagné 2h sur structuration. Utilisées relecture croisée sources.</t>
        </is>
      </c>
      <c r="F159" s="7" t="n"/>
      <c r="G159" s="7" t="inlineStr">
        <is>
          <t>D2.2 ?</t>
        </is>
      </c>
      <c r="H159" t="inlineStr">
        <is>
          <t>T1</t>
        </is>
      </c>
    </row>
    <row r="160" ht="15" customHeight="1">
      <c r="A160" s="7" t="inlineStr">
        <is>
          <t>E3</t>
        </is>
      </c>
      <c r="B160" s="12">
        <f>IFERROR(INDEX(Panel!$B$4:$B$11,MATCH($A160,Panel!$A$4:$A$11,0)),"")</f>
        <v/>
      </c>
      <c r="C160" s="7" t="inlineStr">
        <is>
          <t>B2.3</t>
        </is>
      </c>
      <c r="D160" s="12">
        <f>IFERROR(INDEX(Codebook!$B$4:$B$62,MATCH($C160,Codebook!$A$4:$A$62,0)),"")</f>
        <v/>
      </c>
      <c r="E160" s="7" t="inlineStr">
        <is>
          <t>IA fait erreurs subtiles. Formulations justes mais sens trahi. Préfère vérifier que produire. Qualité &gt; vitesse.</t>
        </is>
      </c>
      <c r="F160" s="7" t="n"/>
      <c r="G160" s="7" t="inlineStr">
        <is>
          <t>D3.1 ?</t>
        </is>
      </c>
      <c r="H160" t="inlineStr">
        <is>
          <t>T1</t>
        </is>
      </c>
    </row>
    <row r="161" ht="15" customHeight="1">
      <c r="A161" s="7" t="inlineStr">
        <is>
          <t>E3</t>
        </is>
      </c>
      <c r="B161" s="12">
        <f>IFERROR(INDEX(Panel!$B$4:$B$11,MATCH($A161,Panel!$A$4:$A$11,0)),"")</f>
        <v/>
      </c>
      <c r="C161" s="7" t="inlineStr">
        <is>
          <t>D3.2</t>
        </is>
      </c>
      <c r="D161" s="12">
        <f>IFERROR(INDEX(Codebook!$B$4:$B$62,MATCH($C161,Codebook!$A$4:$A$62,0)),"")</f>
        <v/>
      </c>
      <c r="E161" s="7" t="inlineStr">
        <is>
          <t>Reformulation technique. IA inversé 2 concepts clés. Sens faussé. 45 min à reprendre. Aurais fait en 20 min. Catastrophe si parti.</t>
        </is>
      </c>
      <c r="F161" s="7" t="n"/>
      <c r="G161" s="7" t="inlineStr">
        <is>
          <t>D3.1 ?</t>
        </is>
      </c>
      <c r="H161" t="inlineStr">
        <is>
          <t>T1</t>
        </is>
      </c>
    </row>
    <row r="162" ht="15" customHeight="1">
      <c r="A162" s="7" t="inlineStr">
        <is>
          <t>E3</t>
        </is>
      </c>
      <c r="B162" s="12">
        <f>IFERROR(INDEX(Panel!$B$4:$B$11,MATCH($A162,Panel!$A$4:$A$11,0)),"")</f>
        <v/>
      </c>
      <c r="C162" s="7" t="inlineStr">
        <is>
          <t>A3.2</t>
        </is>
      </c>
      <c r="D162" s="12">
        <f>IFERROR(INDEX(Codebook!$B$4:$B$62,MATCH($C162,Codebook!$A$4:$A$62,0)),"")</f>
        <v/>
      </c>
      <c r="E162" s="7" t="inlineStr">
        <is>
          <t>Oui, mais pas dans grandes largeurs. Retours d'expérience, mises en garde.</t>
        </is>
      </c>
      <c r="F162" s="7" t="n"/>
      <c r="G162" s="7" t="n"/>
      <c r="H162" t="inlineStr">
        <is>
          <t>T1</t>
        </is>
      </c>
    </row>
    <row r="163" ht="15" customHeight="1">
      <c r="A163" s="7" t="inlineStr">
        <is>
          <t>E3</t>
        </is>
      </c>
      <c r="B163" s="12">
        <f>IFERROR(INDEX(Panel!$B$4:$B$11,MATCH($A163,Panel!$A$4:$A$11,0)),"")</f>
        <v/>
      </c>
      <c r="C163" s="7" t="inlineStr">
        <is>
          <t>B3.1</t>
        </is>
      </c>
      <c r="D163" s="12">
        <f>IFERROR(INDEX(Codebook!$B$4:$B$62,MATCH($C163,Codebook!$A$4:$A$62,0)),"")</f>
        <v/>
      </c>
      <c r="E163" s="7" t="inlineStr">
        <is>
          <t>Alerté juniors : pas confiance aveugle. Vu livrables avec coquilles grossières. Pas relu.</t>
        </is>
      </c>
      <c r="F163" s="7" t="n"/>
      <c r="G163" s="7" t="inlineStr">
        <is>
          <t>A3.2 ?</t>
        </is>
      </c>
      <c r="H163" t="inlineStr">
        <is>
          <t>T1</t>
        </is>
      </c>
    </row>
    <row r="164" ht="15" customHeight="1">
      <c r="A164" s="7" t="inlineStr">
        <is>
          <t>E3</t>
        </is>
      </c>
      <c r="B164" s="12">
        <f>IFERROR(INDEX(Panel!$B$4:$B$11,MATCH($A164,Panel!$A$4:$A$11,0)),"")</f>
        <v/>
      </c>
      <c r="C164" s="7" t="inlineStr">
        <is>
          <t>D1.2</t>
        </is>
      </c>
      <c r="D164" s="12">
        <f>IFERROR(INDEX(Codebook!$B$4:$B$62,MATCH($C164,Codebook!$A$4:$A$62,0)),"")</f>
        <v/>
      </c>
      <c r="E164" s="7" t="inlineStr">
        <is>
          <t>Règle : « si tu peux pas justifier, mets pas ». J'essaie de transmettre.</t>
        </is>
      </c>
      <c r="F164" s="7" t="n"/>
      <c r="G164" s="7" t="inlineStr">
        <is>
          <t>T2.2 ?</t>
        </is>
      </c>
      <c r="H164" t="inlineStr">
        <is>
          <t>T1</t>
        </is>
      </c>
    </row>
    <row r="165" ht="15" customHeight="1">
      <c r="A165" s="7" t="inlineStr">
        <is>
          <t>E3</t>
        </is>
      </c>
      <c r="B165" s="12">
        <f>IFERROR(INDEX(Panel!$B$4:$B$11,MATCH($A165,Panel!$A$4:$A$11,0)),"")</f>
        <v/>
      </c>
      <c r="C165" s="7" t="inlineStr">
        <is>
          <t>B3.3</t>
        </is>
      </c>
      <c r="D165" s="12">
        <f>IFERROR(INDEX(Codebook!$B$4:$B$62,MATCH($C165,Codebook!$A$4:$A$62,0)),"")</f>
        <v/>
      </c>
      <c r="E165" s="7" t="inlineStr">
        <is>
          <t>Expérience et erreurs. Mes premières missions, j'ai fait des erreurs.</t>
        </is>
      </c>
      <c r="F165" s="7" t="n"/>
      <c r="G165" s="7" t="inlineStr">
        <is>
          <t>B1.1 ?</t>
        </is>
      </c>
      <c r="H165" t="inlineStr">
        <is>
          <t>T2</t>
        </is>
      </c>
    </row>
    <row r="166" ht="15" customHeight="1">
      <c r="A166" s="7" t="inlineStr">
        <is>
          <t>E3</t>
        </is>
      </c>
      <c r="B166" s="12">
        <f>IFERROR(INDEX(Panel!$B$4:$B$11,MATCH($A166,Panel!$A$4:$A$11,0)),"")</f>
        <v/>
      </c>
      <c r="C166" s="7" t="inlineStr">
        <is>
          <t>B2.2</t>
        </is>
      </c>
      <c r="D166" s="12">
        <f>IFERROR(INDEX(Codebook!$B$4:$B$62,MATCH($C166,Codebook!$A$4:$A$62,0)),"")</f>
        <v/>
      </c>
      <c r="E166" s="7" t="inlineStr">
        <is>
          <t>IA change donne : version propre -&gt; illusion de maîtrise sans avoir creusé.</t>
        </is>
      </c>
      <c r="F166" s="7" t="n"/>
      <c r="G166" s="7" t="inlineStr">
        <is>
          <t>B4.2 ?</t>
        </is>
      </c>
      <c r="H166" t="inlineStr">
        <is>
          <t>T2</t>
        </is>
      </c>
    </row>
    <row r="167" ht="15" customHeight="1">
      <c r="A167" s="7" t="inlineStr">
        <is>
          <t>E3</t>
        </is>
      </c>
      <c r="B167" s="12">
        <f>IFERROR(INDEX(Panel!$B$4:$B$11,MATCH($A167,Panel!$A$4:$A$11,0)),"")</f>
        <v/>
      </c>
      <c r="C167" s="7" t="inlineStr">
        <is>
          <t>B2.3</t>
        </is>
      </c>
      <c r="D167" s="12">
        <f>IFERROR(INDEX(Codebook!$B$4:$B$62,MATCH($C167,Codebook!$A$4:$A$62,0)),"")</f>
        <v/>
      </c>
      <c r="E167" s="7" t="inlineStr">
        <is>
          <t>Bon consultant = sait ce qu'il met dans livrables, pas formatage prompt.</t>
        </is>
      </c>
      <c r="F167" s="7" t="n"/>
      <c r="G167" s="7" t="inlineStr">
        <is>
          <t>C3.1 ?</t>
        </is>
      </c>
      <c r="H167" t="inlineStr">
        <is>
          <t>T2</t>
        </is>
      </c>
    </row>
    <row r="168" ht="15" customHeight="1">
      <c r="A168" s="7" t="inlineStr">
        <is>
          <t>E3</t>
        </is>
      </c>
      <c r="B168" s="12">
        <f>IFERROR(INDEX(Panel!$B$4:$B$11,MATCH($A168,Panel!$A$4:$A$11,0)),"")</f>
        <v/>
      </c>
      <c r="C168" s="7" t="inlineStr">
        <is>
          <t>A3.3</t>
        </is>
      </c>
      <c r="D168" s="12">
        <f>IFERROR(INDEX(Codebook!$B$4:$B$62,MATCH($C168,Codebook!$A$4:$A$62,0)),"")</f>
        <v/>
      </c>
      <c r="E168" s="7" t="inlineStr">
        <is>
          <t>Formation continue me conforte : IA outil, pas compétence.</t>
        </is>
      </c>
      <c r="F168" s="7" t="n"/>
      <c r="G168" s="7" t="inlineStr">
        <is>
          <t>B2.1 ?</t>
        </is>
      </c>
      <c r="H168" t="inlineStr">
        <is>
          <t>T2</t>
        </is>
      </c>
    </row>
    <row r="169" ht="15" customHeight="1">
      <c r="A169" s="7" t="inlineStr">
        <is>
          <t>E3</t>
        </is>
      </c>
      <c r="B169" s="12">
        <f>IFERROR(INDEX(Panel!$B$4:$B$11,MATCH($A169,Panel!$A$4:$A$11,0)),"")</f>
        <v/>
      </c>
      <c r="C169" s="7" t="inlineStr">
        <is>
          <t>A2.2</t>
        </is>
      </c>
      <c r="D169" s="12">
        <f>IFERROR(INDEX(Codebook!$B$4:$B$62,MATCH($C169,Codebook!$A$4:$A$62,0)),"")</f>
        <v/>
      </c>
      <c r="E169" s="7" t="inlineStr">
        <is>
          <t>Seul face au problème. Analyse, justifier reco, expliquer vulnérabilité. IA connaît pas contexte client, contraintes, sensibilités.</t>
        </is>
      </c>
      <c r="F169" s="7" t="n"/>
      <c r="G169" s="7" t="inlineStr">
        <is>
          <t>C3.1 ?</t>
        </is>
      </c>
      <c r="H169" t="inlineStr">
        <is>
          <t>T2</t>
        </is>
      </c>
    </row>
    <row r="170" ht="15" customHeight="1">
      <c r="A170" s="7" t="inlineStr">
        <is>
          <t>E3</t>
        </is>
      </c>
      <c r="B170" s="12">
        <f>IFERROR(INDEX(Panel!$B$4:$B$11,MATCH($A170,Panel!$A$4:$A$11,0)),"")</f>
        <v/>
      </c>
      <c r="C170" s="7" t="inlineStr">
        <is>
          <t>B1.2</t>
        </is>
      </c>
      <c r="D170" s="12">
        <f>IFERROR(INDEX(Codebook!$B$4:$B$62,MATCH($C170,Codebook!$A$4:$A$62,0)),"")</f>
        <v/>
      </c>
      <c r="E170" s="7" t="inlineStr">
        <is>
          <t>Répétitives = pas formatrices. IA fait bien. Cœur = jugement.</t>
        </is>
      </c>
      <c r="F170" s="7" t="n"/>
      <c r="G170" s="7" t="n"/>
      <c r="H170" t="inlineStr">
        <is>
          <t>T2</t>
        </is>
      </c>
    </row>
    <row r="171" ht="15" customHeight="1">
      <c r="A171" s="7" t="inlineStr">
        <is>
          <t>E3</t>
        </is>
      </c>
      <c r="B171" s="12">
        <f>IFERROR(INDEX(Panel!$B$4:$B$11,MATCH($A171,Panel!$A$4:$A$11,0)),"")</f>
        <v/>
      </c>
      <c r="C171" s="23" t="inlineStr">
        <is>
          <t>C2.2</t>
        </is>
      </c>
      <c r="D171" s="12">
        <f>IFERROR(INDEX(Codebook!$B$4:$B$62,MATCH($C171,Codebook!$A$4:$A$62,0)),"")</f>
        <v/>
      </c>
      <c r="E171" s="23" t="inlineStr">
        <is>
          <t>Pas dit au client que IA. Contre-productif. Client paie expertise, pas outil.</t>
        </is>
      </c>
      <c r="F171" s="7" t="n"/>
      <c r="G171" s="7" t="n"/>
      <c r="H171" t="inlineStr">
        <is>
          <t>T3</t>
        </is>
      </c>
    </row>
    <row r="172" ht="15" customHeight="1">
      <c r="A172" s="7" t="inlineStr">
        <is>
          <t>E3</t>
        </is>
      </c>
      <c r="B172" s="12">
        <f>IFERROR(INDEX(Panel!$B$4:$B$11,MATCH($A172,Panel!$A$4:$A$11,0)),"")</f>
        <v/>
      </c>
      <c r="C172" s="7" t="inlineStr">
        <is>
          <t>C1.2</t>
        </is>
      </c>
      <c r="D172" s="12">
        <f>IFERROR(INDEX(Codebook!$B$4:$B$62,MATCH($C172,Codebook!$A$4:$A$62,0)),"")</f>
        <v/>
      </c>
      <c r="E172" s="23" t="inlineStr">
        <is>
          <t>Si erreur = client perd confiance, et a raison. Cybersécurité, moindre erreur exploitable.</t>
        </is>
      </c>
      <c r="F172" s="7" t="n"/>
      <c r="G172" s="7" t="n"/>
      <c r="H172" t="inlineStr">
        <is>
          <t>T3</t>
        </is>
      </c>
    </row>
    <row r="173" ht="15" customHeight="1">
      <c r="A173" s="7" t="inlineStr">
        <is>
          <t>E3</t>
        </is>
      </c>
      <c r="B173" s="12">
        <f>IFERROR(INDEX(Panel!$B$4:$B$11,MATCH($A173,Panel!$A$4:$A$11,0)),"")</f>
        <v/>
      </c>
      <c r="C173" s="7" t="inlineStr">
        <is>
          <t>D1.2</t>
        </is>
      </c>
      <c r="D173" s="12">
        <f>IFERROR(INDEX(Codebook!$B$4:$B$62,MATCH($C173,Codebook!$A$4:$A$62,0)),"")</f>
        <v/>
      </c>
      <c r="E173" s="7" t="inlineStr">
        <is>
          <t>Mon contexte = exigences plus fortes. J'applique règle + stricte. Prudence.</t>
        </is>
      </c>
      <c r="F173" s="7" t="n"/>
      <c r="G173" s="7" t="inlineStr">
        <is>
          <t>D1.1 ?</t>
        </is>
      </c>
      <c r="H173" t="inlineStr">
        <is>
          <t>T4</t>
        </is>
      </c>
    </row>
    <row r="174" ht="15" customHeight="1">
      <c r="A174" s="7" t="inlineStr">
        <is>
          <t>E3</t>
        </is>
      </c>
      <c r="B174" s="12">
        <f>IFERROR(INDEX(Panel!$B$4:$B$11,MATCH($A174,Panel!$A$4:$A$11,0)),"")</f>
        <v/>
      </c>
      <c r="C174" s="7" t="inlineStr">
        <is>
          <t>D2.1</t>
        </is>
      </c>
      <c r="D174" s="12">
        <f>IFERROR(INDEX(Codebook!$B$4:$B$62,MATCH($C174,Codebook!$A$4:$A$62,0)),"")</f>
        <v/>
      </c>
      <c r="E174" s="7" t="inlineStr">
        <is>
          <t>Circuit validation. Produis version -&gt; relecteur (manager/expert) -&gt; validation. Pas de procédure spécifique pour contenus IA.</t>
        </is>
      </c>
      <c r="F174" s="7" t="n"/>
      <c r="G174" s="7" t="inlineStr">
        <is>
          <t>D2.3 ?</t>
        </is>
      </c>
      <c r="H174" t="inlineStr">
        <is>
          <t>T4</t>
        </is>
      </c>
    </row>
    <row r="175" ht="15" customHeight="1">
      <c r="A175" s="7" t="inlineStr">
        <is>
          <t>E3</t>
        </is>
      </c>
      <c r="B175" s="12">
        <f>IFERROR(INDEX(Panel!$B$4:$B$11,MATCH($A175,Panel!$A$4:$A$11,0)),"")</f>
        <v/>
      </c>
      <c r="C175" s="23" t="inlineStr">
        <is>
          <t>D2.3</t>
        </is>
      </c>
      <c r="D175" s="12">
        <f>IFERROR(INDEX(Codebook!$B$4:$B$62,MATCH($C175,Codebook!$A$4:$A$62,0)),"")</f>
        <v/>
      </c>
      <c r="E175" s="7" t="inlineStr">
        <is>
          <t>Circuit validation. Produis version -&gt; relecteur (manager/expert) -&gt; validation. Pas de procédure spécifique pour contenus IA.</t>
        </is>
      </c>
      <c r="F175" s="7" t="n"/>
      <c r="G175" s="7" t="inlineStr">
        <is>
          <t>D2.3 ?</t>
        </is>
      </c>
      <c r="H175" t="inlineStr">
        <is>
          <t>T4</t>
        </is>
      </c>
    </row>
    <row r="176" ht="15" customHeight="1">
      <c r="A176" s="7" t="inlineStr">
        <is>
          <t>E3</t>
        </is>
      </c>
      <c r="B176" s="12">
        <f>IFERROR(INDEX(Panel!$B$4:$B$11,MATCH($A176,Panel!$A$4:$A$11,0)),"")</f>
        <v/>
      </c>
      <c r="C176" s="7" t="inlineStr">
        <is>
          <t>D4.1</t>
        </is>
      </c>
      <c r="D176" s="12">
        <f>IFERROR(INDEX(Codebook!$B$4:$B$62,MATCH($C176,Codebook!$A$4:$A$62,0)),"")</f>
        <v/>
      </c>
      <c r="E176" s="7" t="inlineStr">
        <is>
          <t>C'est moi qui signe =&gt; moi responsable.</t>
        </is>
      </c>
      <c r="F176" s="7" t="n"/>
      <c r="G176" s="7" t="n"/>
      <c r="H176" t="inlineStr">
        <is>
          <t>T4</t>
        </is>
      </c>
    </row>
    <row r="177" ht="15" customHeight="1">
      <c r="A177" s="7" t="inlineStr">
        <is>
          <t>E3</t>
        </is>
      </c>
      <c r="B177" s="12">
        <f>IFERROR(INDEX(Panel!$B$4:$B$11,MATCH($A177,Panel!$A$4:$A$11,0)),"")</f>
        <v/>
      </c>
      <c r="C177" s="7" t="inlineStr">
        <is>
          <t>D3.1</t>
        </is>
      </c>
      <c r="D177" s="12">
        <f>IFERROR(INDEX(Codebook!$B$4:$B$62,MATCH($C177,Codebook!$A$4:$A$62,0)),"")</f>
        <v/>
      </c>
      <c r="E177" s="7" t="inlineStr">
        <is>
          <t>Plus récente : synthèse [outil homologué] mal interprété point technique. Rien dramatique, repéré relecture.</t>
        </is>
      </c>
      <c r="F177" s="7" t="n"/>
      <c r="G177" s="7" t="n"/>
      <c r="H177" t="inlineStr">
        <is>
          <t>T4</t>
        </is>
      </c>
    </row>
    <row r="178" ht="15" customHeight="1">
      <c r="A178" s="7" t="inlineStr">
        <is>
          <t>E3</t>
        </is>
      </c>
      <c r="B178" s="12">
        <f>IFERROR(INDEX(Panel!$B$4:$B$11,MATCH($A178,Panel!$A$4:$A$11,0)),"")</f>
        <v/>
      </c>
      <c r="C178" s="7" t="inlineStr">
        <is>
          <t>D4.1</t>
        </is>
      </c>
      <c r="D178" s="12">
        <f>IFERROR(INDEX(Codebook!$B$4:$B$62,MATCH($C178,Codebook!$A$4:$A$62,0)),"")</f>
        <v/>
      </c>
      <c r="E178" s="7" t="inlineStr">
        <is>
          <t>Collègues juniors se font avoir. Envoient livrable, manager voit incohérence. Junior répond « c'est l'IA ». Jamais bien fini.</t>
        </is>
      </c>
      <c r="F178" s="7" t="n"/>
      <c r="G178" s="7" t="inlineStr">
        <is>
          <t>T1.2 ?</t>
        </is>
      </c>
      <c r="H178" t="inlineStr">
        <is>
          <t>T4</t>
        </is>
      </c>
    </row>
    <row r="179" ht="15" customHeight="1">
      <c r="A179" s="7" t="inlineStr">
        <is>
          <t>E3</t>
        </is>
      </c>
      <c r="B179" s="12">
        <f>IFERROR(INDEX(Panel!$B$4:$B$11,MATCH($A179,Panel!$A$4:$A$11,0)),"")</f>
        <v/>
      </c>
      <c r="C179" s="7" t="inlineStr">
        <is>
          <t>T2.2</t>
        </is>
      </c>
      <c r="D179" s="12">
        <f>IFERROR(INDEX(Codebook!$B$4:$B$62,MATCH($C179,Codebook!$A$4:$A$62,0)),"")</f>
        <v/>
      </c>
      <c r="E179" s="7" t="inlineStr">
        <is>
          <t>« IA outil d'assistance, pas substitut expertise. Toute production vérifiée et justifiée. En cas de doute, pas utilisée. »</t>
        </is>
      </c>
      <c r="F179" s="7" t="n"/>
      <c r="G179" s="7" t="n"/>
      <c r="H179" t="inlineStr">
        <is>
          <t>T4</t>
        </is>
      </c>
    </row>
    <row r="180" ht="15" customHeight="1">
      <c r="A180" s="7" t="inlineStr">
        <is>
          <t>E3</t>
        </is>
      </c>
      <c r="B180" s="12">
        <f>IFERROR(INDEX(Panel!$B$4:$B$11,MATCH($A180,Panel!$A$4:$A$11,0)),"")</f>
        <v/>
      </c>
      <c r="C180" s="7" t="inlineStr">
        <is>
          <t>D5.2</t>
        </is>
      </c>
      <c r="D180" s="12">
        <f>IFERROR(INDEX(Codebook!$B$4:$B$62,MATCH($C180,Codebook!$A$4:$A$62,0)),"")</f>
        <v/>
      </c>
      <c r="E180" s="7" t="inlineStr">
        <is>
          <t>Traçabilité : savoir ce qui a été fait par IA et pas. Pas contrôler, responsabiliser.</t>
        </is>
      </c>
      <c r="F180" s="7" t="n"/>
      <c r="G180" s="7" t="inlineStr">
        <is>
          <t>T2.2 ?</t>
        </is>
      </c>
      <c r="H180" t="inlineStr">
        <is>
          <t>T4</t>
        </is>
      </c>
    </row>
    <row r="181" ht="15" customHeight="1">
      <c r="A181" s="7" t="inlineStr">
        <is>
          <t>E3</t>
        </is>
      </c>
      <c r="B181" s="12">
        <f>IFERROR(INDEX(Panel!$B$4:$B$11,MATCH($A181,Panel!$A$4:$A$11,0)),"")</f>
        <v/>
      </c>
      <c r="C181" s="7" t="inlineStr">
        <is>
          <t>T2.2</t>
        </is>
      </c>
      <c r="D181" s="12">
        <f>IFERROR(INDEX(Codebook!$B$4:$B$62,MATCH($C181,Codebook!$A$4:$A$62,0)),"")</f>
        <v/>
      </c>
      <c r="E181" s="7" t="inlineStr">
        <is>
          <t>Formation obligatoire. Pas technique, mais détection erreurs. Risque = consultants ne voient pas les erreurs.</t>
        </is>
      </c>
      <c r="F181" s="7" t="n"/>
      <c r="G181" s="7" t="n"/>
      <c r="H181" t="inlineStr">
        <is>
          <t>T5</t>
        </is>
      </c>
    </row>
    <row r="182" ht="15" customHeight="1">
      <c r="A182" s="7" t="inlineStr">
        <is>
          <t>E3</t>
        </is>
      </c>
      <c r="B182" s="12">
        <f>IFERROR(INDEX(Panel!$B$4:$B$11,MATCH($A182,Panel!$A$4:$A$11,0)),"")</f>
        <v/>
      </c>
      <c r="C182" s="7" t="inlineStr">
        <is>
          <t>T2.2</t>
        </is>
      </c>
      <c r="D182" s="12">
        <f>IFERROR(INDEX(Codebook!$B$4:$B$62,MATCH($C182,Codebook!$A$4:$A$62,0)),"")</f>
        <v/>
      </c>
      <c r="E182" s="7" t="inlineStr">
        <is>
          <t>Processus validation incluant vérification spécifique contenus générés. Comme pour citations, mais systématique.</t>
        </is>
      </c>
      <c r="F182" s="7" t="n"/>
      <c r="G182" s="7" t="inlineStr">
        <is>
          <t>D5.2 ?</t>
        </is>
      </c>
      <c r="H182" t="inlineStr">
        <is>
          <t>T5</t>
        </is>
      </c>
    </row>
    <row r="183" ht="15" customHeight="1">
      <c r="A183" s="7" t="inlineStr">
        <is>
          <t>E3</t>
        </is>
      </c>
      <c r="B183" s="12">
        <f>IFERROR(INDEX(Panel!$B$4:$B$11,MATCH($A183,Panel!$A$4:$A$11,0)),"")</f>
        <v/>
      </c>
      <c r="C183" s="7" t="inlineStr">
        <is>
          <t>T2.1</t>
        </is>
      </c>
      <c r="D183" s="12">
        <f>IFERROR(INDEX(Codebook!$B$4:$B$62,MATCH($C183,Codebook!$A$4:$A$62,0)),"")</f>
        <v/>
      </c>
      <c r="E183" s="7" t="inlineStr">
        <is>
          <t>Dimension juridique. PI, confidentialité, responsabilité. Personne en parle vraiment. Va devenir central. Vide juridique à combler.</t>
        </is>
      </c>
      <c r="F183" s="7" t="n"/>
      <c r="G183" s="7" t="inlineStr">
        <is>
          <t>D1.3 ?</t>
        </is>
      </c>
      <c r="H183" t="inlineStr">
        <is>
          <t>T5</t>
        </is>
      </c>
    </row>
    <row r="184" ht="15" customHeight="1">
      <c r="A184" s="7" t="inlineStr">
        <is>
          <t>E3</t>
        </is>
      </c>
      <c r="B184" s="25">
        <f>IFERROR(INDEX(Panel!$B$4:$B$11,MATCH($A184,Panel!$A$4:$A$11,0)),"")</f>
        <v/>
      </c>
      <c r="C184" s="7" t="inlineStr">
        <is>
          <t>T3.2</t>
        </is>
      </c>
      <c r="D184" s="25">
        <f>IFERROR(INDEX(Codebook!$B$4:$B$62,MATCH($C184,Codebook!$A$4:$A$62,0)),"")</f>
        <v/>
      </c>
      <c r="E184" s="7" t="inlineStr">
        <is>
          <t>Depuis, encore plus vigilant.</t>
        </is>
      </c>
      <c r="F184" s="25" t="inlineStr">
        <is>
          <t>Incident de reformulation</t>
        </is>
      </c>
      <c r="G184" s="7" t="n"/>
      <c r="H184" s="26" t="inlineStr">
        <is>
          <t>T1</t>
        </is>
      </c>
    </row>
    <row r="185" ht="15" customHeight="1">
      <c r="A185" s="7" t="inlineStr">
        <is>
          <t>E3</t>
        </is>
      </c>
      <c r="B185" s="25">
        <f>IFERROR(INDEX(Panel!$B$4:$B$11,MATCH($A185,Panel!$A$4:$A$11,0)),"")</f>
        <v/>
      </c>
      <c r="C185" s="7" t="inlineStr">
        <is>
          <t>B1.1</t>
        </is>
      </c>
      <c r="D185" s="25">
        <f>IFERROR(INDEX(Codebook!$B$4:$B$62,MATCH($C185,Codebook!$A$4:$A$62,0)),"")</f>
        <v/>
      </c>
      <c r="E185" s="7" t="inlineStr">
        <is>
          <t>Pour juniors, oui. Passer des heures à structurer, formuler, vérifier = rigueur.</t>
        </is>
      </c>
      <c r="F185" s="25" t="n"/>
      <c r="G185" s="7" t="n"/>
      <c r="H185" s="26" t="inlineStr">
        <is>
          <t>T2</t>
        </is>
      </c>
    </row>
    <row r="186" ht="15" customHeight="1">
      <c r="A186" s="7" t="inlineStr">
        <is>
          <t>E3</t>
        </is>
      </c>
      <c r="B186" s="25">
        <f>IFERROR(INDEX(Panel!$B$4:$B$11,MATCH($A186,Panel!$A$4:$A$11,0)),"")</f>
        <v/>
      </c>
      <c r="C186" s="7" t="inlineStr">
        <is>
          <t>B2.1</t>
        </is>
      </c>
      <c r="D186" s="25">
        <f>IFERROR(INDEX(Codebook!$B$4:$B$62,MATCH($C186,Codebook!$A$4:$A$62,0)),"")</f>
        <v/>
      </c>
      <c r="E186" s="7" t="inlineStr">
        <is>
          <t>Moi, 3 ans, j'ai déjà réflexe. Donc délègue rédaction à l'outil pour me concentrer fond.</t>
        </is>
      </c>
      <c r="F186" s="25" t="n"/>
      <c r="G186" s="7" t="n"/>
      <c r="H186" s="26" t="inlineStr">
        <is>
          <t>T2</t>
        </is>
      </c>
    </row>
    <row r="187" ht="15" customHeight="1">
      <c r="A187" s="7" t="inlineStr">
        <is>
          <t>E3</t>
        </is>
      </c>
      <c r="B187" s="25">
        <f>IFERROR(INDEX(Panel!$B$4:$B$11,MATCH($A187,Panel!$A$4:$A$11,0)),"")</f>
        <v/>
      </c>
      <c r="C187" s="7" t="inlineStr">
        <is>
          <t>B2.3</t>
        </is>
      </c>
      <c r="D187" s="25">
        <f>IFERROR(INDEX(Codebook!$B$4:$B$62,MATCH($C187,Codebook!$A$4:$A$62,0)),"")</f>
        <v/>
      </c>
      <c r="E187" s="7" t="inlineStr">
        <is>
          <t>Vérifie tout. Mais ne perds plus temps sur ce que l'outil fait bien.</t>
        </is>
      </c>
      <c r="F187" s="25" t="n"/>
      <c r="G187" s="7" t="n"/>
      <c r="H187" s="26" t="inlineStr">
        <is>
          <t>T2</t>
        </is>
      </c>
    </row>
    <row r="188" ht="15" customHeight="1">
      <c r="A188" s="7" t="inlineStr">
        <is>
          <t>E3</t>
        </is>
      </c>
      <c r="B188" s="25">
        <f>IFERROR(INDEX(Panel!$B$4:$B$11,MATCH($A188,Panel!$A$4:$A$11,0)),"")</f>
        <v/>
      </c>
      <c r="C188" s="7" t="inlineStr">
        <is>
          <t>D2.2</t>
        </is>
      </c>
      <c r="D188" s="25">
        <f>IFERROR(INDEX(Codebook!$B$4:$B$62,MATCH($C188,Codebook!$A$4:$A$62,0)),"")</f>
        <v/>
      </c>
      <c r="E188" s="7" t="inlineStr">
        <is>
          <t>Trois étapes : 1. relecture cohérence, le texte tient debout ? 2. contrôle croisé sources, infos exactes ? 3. « oserais défendre en réunion client ? » Si non, je reprends.</t>
        </is>
      </c>
      <c r="F188" s="25" t="n"/>
      <c r="G188" s="7" t="n"/>
      <c r="H188" s="26" t="inlineStr">
        <is>
          <t>T2</t>
        </is>
      </c>
    </row>
    <row r="189" ht="15" customHeight="1">
      <c r="A189" s="7" t="inlineStr">
        <is>
          <t>E3</t>
        </is>
      </c>
      <c r="B189" s="25">
        <f>IFERROR(INDEX(Panel!$B$4:$B$11,MATCH($A189,Panel!$A$4:$A$11,0)),"")</f>
        <v/>
      </c>
      <c r="C189" s="7" t="inlineStr">
        <is>
          <t>C1.1</t>
        </is>
      </c>
      <c r="D189" s="25">
        <f>IFERROR(INDEX(Codebook!$B$4:$B$62,MATCH($C189,Codebook!$A$4:$A$62,0)),"")</f>
        <v/>
      </c>
      <c r="E189" s="7" t="inlineStr">
        <is>
          <t>Fiabilité. Cybersécurité, si erreur, conséquences graves. Client doit savoir : ils savent ce qu'ils font, prennent pas risques inutiles.</t>
        </is>
      </c>
      <c r="F189" s="25" t="n"/>
      <c r="G189" s="7" t="n"/>
      <c r="H189" s="26" t="inlineStr">
        <is>
          <t>T3</t>
        </is>
      </c>
    </row>
    <row r="190" ht="15" customHeight="1">
      <c r="A190" s="7" t="inlineStr">
        <is>
          <t>E3</t>
        </is>
      </c>
      <c r="B190" s="25">
        <f>IFERROR(INDEX(Panel!$B$4:$B$11,MATCH($A190,Panel!$A$4:$A$11,0)),"")</f>
        <v/>
      </c>
      <c r="C190" s="7" t="inlineStr">
        <is>
          <t>C1.3</t>
        </is>
      </c>
      <c r="D190" s="25">
        <f>IFERROR(INDEX(Codebook!$B$4:$B$62,MATCH($C190,Codebook!$A$4:$A$62,0)),"")</f>
        <v/>
      </c>
      <c r="E190" s="7" t="inlineStr">
        <is>
          <t>IA aide à produire vite, pas remplacer jugement expert. Confiance = capacité expliquer, justifier, prendre position.</t>
        </is>
      </c>
      <c r="F190" s="25" t="n"/>
      <c r="G190" s="7" t="n"/>
      <c r="H190" s="26" t="inlineStr">
        <is>
          <t>T3</t>
        </is>
      </c>
    </row>
    <row r="191" ht="15" customHeight="1">
      <c r="A191" s="7" t="inlineStr">
        <is>
          <t>E3</t>
        </is>
      </c>
      <c r="B191" s="25">
        <f>IFERROR(INDEX(Panel!$B$4:$B$11,MATCH($A191,Panel!$A$4:$A$11,0)),"")</f>
        <v/>
      </c>
      <c r="C191" s="7" t="inlineStr">
        <is>
          <t>C3.3</t>
        </is>
      </c>
      <c r="D191" s="25">
        <f>IFERROR(INDEX(Codebook!$B$4:$B$62,MATCH($C191,Codebook!$A$4:$A$62,0)),"")</f>
        <v/>
      </c>
      <c r="E191" s="7" t="inlineStr">
        <is>
          <t>Si dis « c'est l'IA », va se demander pourquoi nous paie.</t>
        </is>
      </c>
      <c r="F191" s="25" t="n"/>
      <c r="G191" s="7" t="n"/>
      <c r="H191" s="26" t="inlineStr">
        <is>
          <t>T3</t>
        </is>
      </c>
    </row>
    <row r="192" ht="15" customHeight="1">
      <c r="A192" s="7" t="inlineStr">
        <is>
          <t>E3</t>
        </is>
      </c>
      <c r="B192" s="25">
        <f>IFERROR(INDEX(Panel!$B$4:$B$11,MATCH($A192,Panel!$A$4:$A$11,0)),"")</f>
        <v/>
      </c>
      <c r="C192" s="7" t="inlineStr">
        <is>
          <t>D4.1</t>
        </is>
      </c>
      <c r="D192" s="25">
        <f>IFERROR(INDEX(Codebook!$B$4:$B$62,MATCH($C192,Codebook!$A$4:$A$62,0)),"")</f>
        <v/>
      </c>
      <c r="E192" s="7" t="inlineStr">
        <is>
          <t>Produit final validé par nous =&gt; notre responsabilité. Origine du texte secondaire. Erreur non vérifiée = faute pro, IA ou main.</t>
        </is>
      </c>
      <c r="F192" s="25" t="n"/>
      <c r="G192" s="7" t="n"/>
      <c r="H192" s="26" t="inlineStr">
        <is>
          <t>T3</t>
        </is>
      </c>
    </row>
    <row r="193" ht="15" customHeight="1">
      <c r="A193" s="7" t="inlineStr">
        <is>
          <t>E3</t>
        </is>
      </c>
      <c r="B193" s="25">
        <f>IFERROR(INDEX(Panel!$B$4:$B$11,MATCH($A193,Panel!$A$4:$A$11,0)),"")</f>
        <v/>
      </c>
      <c r="C193" s="7" t="inlineStr">
        <is>
          <t>C3.2</t>
        </is>
      </c>
      <c r="D193" s="25">
        <f>IFERROR(INDEX(Codebook!$B$4:$B$62,MATCH($C193,Codebook!$A$4:$A$62,0)),"")</f>
        <v/>
      </c>
      <c r="E193" s="7" t="inlineStr">
        <is>
          <t>Jugement et engagement. IA produira rapports, analyses, scénarios. Pas décision, pas responsabilité. Besoin de gens qui disent « voilà ce qu'il faut faire, et pourquoi ».</t>
        </is>
      </c>
      <c r="F193" s="25" t="n"/>
      <c r="G193" s="7" t="n"/>
      <c r="H193" s="26" t="inlineStr">
        <is>
          <t>T3</t>
        </is>
      </c>
    </row>
    <row r="194" ht="15" customHeight="1">
      <c r="A194" s="7" t="n"/>
      <c r="B194" s="12">
        <f>IFERROR(INDEX(Panel!$B$4:$B$11,MATCH($A194,Panel!$A$4:$A$11,0)),"")</f>
        <v/>
      </c>
      <c r="C194" s="7" t="n"/>
      <c r="D194" s="12">
        <f>IFERROR(INDEX(Codebook!$B$4:$B$62,MATCH($C194,Codebook!$A$4:$A$62,0)),"")</f>
        <v/>
      </c>
      <c r="E194" s="7" t="n"/>
      <c r="F194" s="7" t="n"/>
      <c r="G194" s="7" t="n"/>
    </row>
    <row r="195" ht="15" customHeight="1">
      <c r="A195" s="7" t="n"/>
      <c r="B195" s="12">
        <f>IFERROR(INDEX(Panel!$B$4:$B$11,MATCH($A195,Panel!$A$4:$A$11,0)),"")</f>
        <v/>
      </c>
      <c r="C195" s="7" t="n"/>
      <c r="D195" s="12">
        <f>IFERROR(INDEX(Codebook!$B$4:$B$62,MATCH($C195,Codebook!$A$4:$A$62,0)),"")</f>
        <v/>
      </c>
      <c r="E195" s="7" t="n"/>
      <c r="F195" s="7" t="n"/>
      <c r="G195" s="7" t="n"/>
    </row>
    <row r="196" ht="15" customHeight="1">
      <c r="A196" s="7" t="n"/>
      <c r="B196" s="12">
        <f>IFERROR(INDEX(Panel!$B$4:$B$11,MATCH($A196,Panel!$A$4:$A$11,0)),"")</f>
        <v/>
      </c>
      <c r="C196" s="7" t="n"/>
      <c r="D196" s="12">
        <f>IFERROR(INDEX(Codebook!$B$4:$B$62,MATCH($C196,Codebook!$A$4:$A$62,0)),"")</f>
        <v/>
      </c>
      <c r="E196" s="7" t="n"/>
      <c r="F196" s="7" t="n"/>
      <c r="G196" s="7" t="n"/>
    </row>
    <row r="197" ht="15" customHeight="1">
      <c r="A197" s="7" t="n"/>
      <c r="B197" s="12">
        <f>IFERROR(INDEX(Panel!$B$4:$B$11,MATCH($A197,Panel!$A$4:$A$11,0)),"")</f>
        <v/>
      </c>
      <c r="C197" s="7" t="n"/>
      <c r="D197" s="12">
        <f>IFERROR(INDEX(Codebook!$B$4:$B$62,MATCH($C197,Codebook!$A$4:$A$62,0)),"")</f>
        <v/>
      </c>
      <c r="E197" s="7" t="n"/>
      <c r="F197" s="7" t="n"/>
      <c r="G197" s="7" t="n"/>
    </row>
    <row r="198" ht="15" customHeight="1">
      <c r="A198" s="7" t="n"/>
      <c r="B198" s="12">
        <f>IFERROR(INDEX(Panel!$B$4:$B$11,MATCH($A198,Panel!$A$4:$A$11,0)),"")</f>
        <v/>
      </c>
      <c r="C198" s="7" t="n"/>
      <c r="D198" s="12">
        <f>IFERROR(INDEX(Codebook!$B$4:$B$62,MATCH($C198,Codebook!$A$4:$A$62,0)),"")</f>
        <v/>
      </c>
      <c r="E198" s="7" t="n"/>
      <c r="F198" s="7" t="n"/>
      <c r="G198" s="7" t="n"/>
    </row>
    <row r="199" ht="15" customHeight="1">
      <c r="A199" s="7" t="n"/>
      <c r="B199" s="12">
        <f>IFERROR(INDEX(Panel!$B$4:$B$11,MATCH($A199,Panel!$A$4:$A$11,0)),"")</f>
        <v/>
      </c>
      <c r="C199" s="7" t="n"/>
      <c r="D199" s="12">
        <f>IFERROR(INDEX(Codebook!$B$4:$B$62,MATCH($C199,Codebook!$A$4:$A$62,0)),"")</f>
        <v/>
      </c>
      <c r="E199" s="7" t="n"/>
      <c r="F199" s="7" t="n"/>
      <c r="G199" s="7" t="n"/>
    </row>
    <row r="200" ht="15" customHeight="1">
      <c r="A200" s="7" t="n"/>
      <c r="B200" s="12">
        <f>IFERROR(INDEX(Panel!$B$4:$B$11,MATCH($A200,Panel!$A$4:$A$11,0)),"")</f>
        <v/>
      </c>
      <c r="C200" s="7" t="n"/>
      <c r="D200" s="12">
        <f>IFERROR(INDEX(Codebook!$B$4:$B$62,MATCH($C200,Codebook!$A$4:$A$62,0)),"")</f>
        <v/>
      </c>
      <c r="E200" s="7" t="n"/>
      <c r="F200" s="7" t="n"/>
      <c r="G200" s="7" t="n"/>
    </row>
    <row r="201" ht="15" customHeight="1">
      <c r="A201" s="7" t="n"/>
      <c r="B201" s="12">
        <f>IFERROR(INDEX(Panel!$B$4:$B$11,MATCH($A201,Panel!$A$4:$A$11,0)),"")</f>
        <v/>
      </c>
      <c r="C201" s="7" t="n"/>
      <c r="D201" s="12">
        <f>IFERROR(INDEX(Codebook!$B$4:$B$62,MATCH($C201,Codebook!$A$4:$A$62,0)),"")</f>
        <v/>
      </c>
      <c r="E201" s="7" t="n"/>
      <c r="F201" s="7" t="n"/>
      <c r="G201" s="7" t="n"/>
    </row>
    <row r="202" ht="15" customHeight="1">
      <c r="A202" s="7" t="n"/>
      <c r="B202" s="12">
        <f>IFERROR(INDEX(Panel!$B$4:$B$11,MATCH($A202,Panel!$A$4:$A$11,0)),"")</f>
        <v/>
      </c>
      <c r="C202" s="7" t="n"/>
      <c r="D202" s="12">
        <f>IFERROR(INDEX(Codebook!$B$4:$B$62,MATCH($C202,Codebook!$A$4:$A$62,0)),"")</f>
        <v/>
      </c>
      <c r="E202" s="7" t="n"/>
      <c r="F202" s="7" t="n"/>
      <c r="G202" s="7" t="n"/>
    </row>
    <row r="203" ht="15" customHeight="1">
      <c r="A203" s="7" t="n"/>
      <c r="B203" s="12">
        <f>IFERROR(INDEX(Panel!$B$4:$B$11,MATCH($A203,Panel!$A$4:$A$11,0)),"")</f>
        <v/>
      </c>
      <c r="C203" s="7" t="n"/>
      <c r="D203" s="12">
        <f>IFERROR(INDEX(Codebook!$B$4:$B$62,MATCH($C203,Codebook!$A$4:$A$62,0)),"")</f>
        <v/>
      </c>
      <c r="E203" s="7" t="n"/>
      <c r="F203" s="7" t="n"/>
      <c r="G203" s="7" t="n"/>
    </row>
    <row r="204" ht="15" customHeight="1">
      <c r="A204" s="7" t="n"/>
      <c r="B204" s="12">
        <f>IFERROR(INDEX(Panel!$B$4:$B$11,MATCH($A204,Panel!$A$4:$A$11,0)),"")</f>
        <v/>
      </c>
      <c r="C204" s="7" t="n"/>
      <c r="D204" s="12">
        <f>IFERROR(INDEX(Codebook!$B$4:$B$62,MATCH($C204,Codebook!$A$4:$A$62,0)),"")</f>
        <v/>
      </c>
      <c r="E204" s="7" t="n"/>
      <c r="F204" s="7" t="n"/>
      <c r="G204" s="7" t="n"/>
    </row>
    <row r="205" ht="15" customHeight="1">
      <c r="A205" s="7" t="n"/>
      <c r="B205" s="12">
        <f>IFERROR(INDEX(Panel!$B$4:$B$11,MATCH($A205,Panel!$A$4:$A$11,0)),"")</f>
        <v/>
      </c>
      <c r="C205" s="7" t="n"/>
      <c r="D205" s="12">
        <f>IFERROR(INDEX(Codebook!$B$4:$B$62,MATCH($C205,Codebook!$A$4:$A$62,0)),"")</f>
        <v/>
      </c>
      <c r="E205" s="7" t="n"/>
      <c r="F205" s="7" t="n"/>
      <c r="G205" s="7" t="n"/>
    </row>
    <row r="206" ht="15" customHeight="1">
      <c r="A206" s="7" t="n"/>
      <c r="B206" s="12">
        <f>IFERROR(INDEX(Panel!$B$4:$B$11,MATCH($A206,Panel!$A$4:$A$11,0)),"")</f>
        <v/>
      </c>
      <c r="C206" s="7" t="n"/>
      <c r="D206" s="12">
        <f>IFERROR(INDEX(Codebook!$B$4:$B$62,MATCH($C206,Codebook!$A$4:$A$62,0)),"")</f>
        <v/>
      </c>
      <c r="E206" s="7" t="n"/>
      <c r="F206" s="7" t="n"/>
      <c r="G206" s="7" t="n"/>
    </row>
    <row r="207" ht="15" customHeight="1">
      <c r="A207" s="7" t="n"/>
      <c r="B207" s="12">
        <f>IFERROR(INDEX(Panel!$B$4:$B$11,MATCH($A207,Panel!$A$4:$A$11,0)),"")</f>
        <v/>
      </c>
      <c r="C207" s="7" t="n"/>
      <c r="D207" s="12">
        <f>IFERROR(INDEX(Codebook!$B$4:$B$62,MATCH($C207,Codebook!$A$4:$A$62,0)),"")</f>
        <v/>
      </c>
      <c r="E207" s="7" t="n"/>
      <c r="F207" s="7" t="n"/>
      <c r="G207" s="7" t="n"/>
    </row>
    <row r="208" ht="15" customHeight="1">
      <c r="A208" s="7" t="n"/>
      <c r="B208" s="12">
        <f>IFERROR(INDEX(Panel!$B$4:$B$11,MATCH($A208,Panel!$A$4:$A$11,0)),"")</f>
        <v/>
      </c>
      <c r="C208" s="7" t="n"/>
      <c r="D208" s="12">
        <f>IFERROR(INDEX(Codebook!$B$4:$B$62,MATCH($C208,Codebook!$A$4:$A$62,0)),"")</f>
        <v/>
      </c>
      <c r="E208" s="7" t="n"/>
      <c r="F208" s="7" t="n"/>
      <c r="G208" s="7" t="n"/>
    </row>
    <row r="209" ht="15" customHeight="1">
      <c r="A209" s="7" t="n"/>
      <c r="B209" s="12">
        <f>IFERROR(INDEX(Panel!$B$4:$B$11,MATCH($A209,Panel!$A$4:$A$11,0)),"")</f>
        <v/>
      </c>
      <c r="C209" s="7" t="n"/>
      <c r="D209" s="12">
        <f>IFERROR(INDEX(Codebook!$B$4:$B$62,MATCH($C209,Codebook!$A$4:$A$62,0)),"")</f>
        <v/>
      </c>
      <c r="E209" s="7" t="n"/>
      <c r="F209" s="7" t="n"/>
      <c r="G209" s="7" t="n"/>
    </row>
    <row r="210" ht="15" customHeight="1">
      <c r="A210" s="7" t="n"/>
      <c r="B210" s="12">
        <f>IFERROR(INDEX(Panel!$B$4:$B$11,MATCH($A210,Panel!$A$4:$A$11,0)),"")</f>
        <v/>
      </c>
      <c r="C210" s="7" t="n"/>
      <c r="D210" s="12">
        <f>IFERROR(INDEX(Codebook!$B$4:$B$62,MATCH($C210,Codebook!$A$4:$A$62,0)),"")</f>
        <v/>
      </c>
      <c r="E210" s="7" t="n"/>
      <c r="F210" s="7" t="n"/>
      <c r="G210" s="7" t="n"/>
    </row>
    <row r="211" ht="15" customHeight="1">
      <c r="A211" s="7" t="n"/>
      <c r="B211" s="12">
        <f>IFERROR(INDEX(Panel!$B$4:$B$11,MATCH($A211,Panel!$A$4:$A$11,0)),"")</f>
        <v/>
      </c>
      <c r="C211" s="7" t="n"/>
      <c r="D211" s="12">
        <f>IFERROR(INDEX(Codebook!$B$4:$B$62,MATCH($C211,Codebook!$A$4:$A$62,0)),"")</f>
        <v/>
      </c>
      <c r="E211" s="7" t="n"/>
      <c r="F211" s="7" t="n"/>
      <c r="G211" s="7" t="n"/>
    </row>
    <row r="212" ht="15" customHeight="1">
      <c r="A212" s="7" t="n"/>
      <c r="B212" s="12">
        <f>IFERROR(INDEX(Panel!$B$4:$B$11,MATCH($A212,Panel!$A$4:$A$11,0)),"")</f>
        <v/>
      </c>
      <c r="C212" s="7" t="n"/>
      <c r="D212" s="12">
        <f>IFERROR(INDEX(Codebook!$B$4:$B$62,MATCH($C212,Codebook!$A$4:$A$62,0)),"")</f>
        <v/>
      </c>
      <c r="E212" s="7" t="n"/>
      <c r="F212" s="7" t="n"/>
      <c r="G212" s="7" t="n"/>
    </row>
    <row r="213" ht="15" customHeight="1">
      <c r="A213" s="7" t="n"/>
      <c r="B213" s="12">
        <f>IFERROR(INDEX(Panel!$B$4:$B$11,MATCH($A213,Panel!$A$4:$A$11,0)),"")</f>
        <v/>
      </c>
      <c r="C213" s="7" t="n"/>
      <c r="D213" s="12">
        <f>IFERROR(INDEX(Codebook!$B$4:$B$62,MATCH($C213,Codebook!$A$4:$A$62,0)),"")</f>
        <v/>
      </c>
      <c r="E213" s="7" t="n"/>
      <c r="F213" s="7" t="n"/>
      <c r="G213" s="7" t="n"/>
    </row>
    <row r="214" ht="15" customHeight="1">
      <c r="A214" s="7" t="n"/>
      <c r="B214" s="12">
        <f>IFERROR(INDEX(Panel!$B$4:$B$11,MATCH($A214,Panel!$A$4:$A$11,0)),"")</f>
        <v/>
      </c>
      <c r="C214" s="7" t="n"/>
      <c r="D214" s="12">
        <f>IFERROR(INDEX(Codebook!$B$4:$B$62,MATCH($C214,Codebook!$A$4:$A$62,0)),"")</f>
        <v/>
      </c>
      <c r="E214" s="7" t="n"/>
      <c r="F214" s="7" t="n"/>
      <c r="G214" s="7" t="n"/>
    </row>
    <row r="215" ht="15" customHeight="1">
      <c r="A215" s="7" t="n"/>
      <c r="B215" s="12">
        <f>IFERROR(INDEX(Panel!$B$4:$B$11,MATCH($A215,Panel!$A$4:$A$11,0)),"")</f>
        <v/>
      </c>
      <c r="C215" s="7" t="n"/>
      <c r="D215" s="12">
        <f>IFERROR(INDEX(Codebook!$B$4:$B$62,MATCH($C215,Codebook!$A$4:$A$62,0)),"")</f>
        <v/>
      </c>
      <c r="E215" s="7" t="n"/>
      <c r="F215" s="7" t="n"/>
      <c r="G215" s="7" t="n"/>
    </row>
    <row r="216" ht="15" customHeight="1">
      <c r="A216" s="7" t="n"/>
      <c r="B216" s="12">
        <f>IFERROR(INDEX(Panel!$B$4:$B$11,MATCH($A216,Panel!$A$4:$A$11,0)),"")</f>
        <v/>
      </c>
      <c r="C216" s="7" t="n"/>
      <c r="D216" s="12">
        <f>IFERROR(INDEX(Codebook!$B$4:$B$62,MATCH($C216,Codebook!$A$4:$A$62,0)),"")</f>
        <v/>
      </c>
      <c r="E216" s="7" t="n"/>
      <c r="F216" s="7" t="n"/>
      <c r="G216" s="7" t="n"/>
    </row>
    <row r="217" ht="15" customHeight="1">
      <c r="A217" s="7" t="n"/>
      <c r="B217" s="12">
        <f>IFERROR(INDEX(Panel!$B$4:$B$11,MATCH($A217,Panel!$A$4:$A$11,0)),"")</f>
        <v/>
      </c>
      <c r="C217" s="7" t="n"/>
      <c r="D217" s="12">
        <f>IFERROR(INDEX(Codebook!$B$4:$B$62,MATCH($C217,Codebook!$A$4:$A$62,0)),"")</f>
        <v/>
      </c>
      <c r="E217" s="7" t="n"/>
      <c r="F217" s="7" t="n"/>
      <c r="G217" s="7" t="n"/>
    </row>
    <row r="218" ht="15" customHeight="1">
      <c r="A218" s="7" t="n"/>
      <c r="B218" s="12">
        <f>IFERROR(INDEX(Panel!$B$4:$B$11,MATCH($A218,Panel!$A$4:$A$11,0)),"")</f>
        <v/>
      </c>
      <c r="C218" s="7" t="n"/>
      <c r="D218" s="12">
        <f>IFERROR(INDEX(Codebook!$B$4:$B$62,MATCH($C218,Codebook!$A$4:$A$62,0)),"")</f>
        <v/>
      </c>
      <c r="E218" s="7" t="n"/>
      <c r="F218" s="7" t="n"/>
      <c r="G218" s="7" t="n"/>
    </row>
    <row r="219" ht="15" customHeight="1">
      <c r="A219" s="7" t="n"/>
      <c r="B219" s="12">
        <f>IFERROR(INDEX(Panel!$B$4:$B$11,MATCH($A219,Panel!$A$4:$A$11,0)),"")</f>
        <v/>
      </c>
      <c r="C219" s="7" t="n"/>
      <c r="D219" s="12">
        <f>IFERROR(INDEX(Codebook!$B$4:$B$62,MATCH($C219,Codebook!$A$4:$A$62,0)),"")</f>
        <v/>
      </c>
      <c r="E219" s="7" t="n"/>
      <c r="F219" s="7" t="n"/>
      <c r="G219" s="7" t="n"/>
    </row>
    <row r="220" ht="15" customHeight="1">
      <c r="A220" s="7" t="n"/>
      <c r="B220" s="12">
        <f>IFERROR(INDEX(Panel!$B$4:$B$11,MATCH($A220,Panel!$A$4:$A$11,0)),"")</f>
        <v/>
      </c>
      <c r="C220" s="7" t="n"/>
      <c r="D220" s="12">
        <f>IFERROR(INDEX(Codebook!$B$4:$B$62,MATCH($C220,Codebook!$A$4:$A$62,0)),"")</f>
        <v/>
      </c>
      <c r="E220" s="7" t="n"/>
      <c r="F220" s="7" t="n"/>
      <c r="G220" s="7" t="n"/>
    </row>
    <row r="221" ht="15" customHeight="1">
      <c r="A221" s="7" t="n"/>
      <c r="B221" s="12">
        <f>IFERROR(INDEX(Panel!$B$4:$B$11,MATCH($A221,Panel!$A$4:$A$11,0)),"")</f>
        <v/>
      </c>
      <c r="C221" s="7" t="n"/>
      <c r="D221" s="12">
        <f>IFERROR(INDEX(Codebook!$B$4:$B$62,MATCH($C221,Codebook!$A$4:$A$62,0)),"")</f>
        <v/>
      </c>
      <c r="E221" s="7" t="n"/>
      <c r="F221" s="7" t="n"/>
      <c r="G221" s="7" t="n"/>
    </row>
    <row r="222" ht="15" customHeight="1">
      <c r="A222" s="7" t="n"/>
      <c r="B222" s="12">
        <f>IFERROR(INDEX(Panel!$B$4:$B$11,MATCH($A222,Panel!$A$4:$A$11,0)),"")</f>
        <v/>
      </c>
      <c r="C222" s="7" t="n"/>
      <c r="D222" s="12">
        <f>IFERROR(INDEX(Codebook!$B$4:$B$62,MATCH($C222,Codebook!$A$4:$A$62,0)),"")</f>
        <v/>
      </c>
      <c r="E222" s="7" t="n"/>
      <c r="F222" s="7" t="n"/>
      <c r="G222" s="7" t="n"/>
    </row>
    <row r="223" ht="15" customHeight="1">
      <c r="A223" s="7" t="n"/>
      <c r="B223" s="12">
        <f>IFERROR(INDEX(Panel!$B$4:$B$11,MATCH($A223,Panel!$A$4:$A$11,0)),"")</f>
        <v/>
      </c>
      <c r="C223" s="7" t="n"/>
      <c r="D223" s="12">
        <f>IFERROR(INDEX(Codebook!$B$4:$B$62,MATCH($C223,Codebook!$A$4:$A$62,0)),"")</f>
        <v/>
      </c>
      <c r="E223" s="7" t="n"/>
      <c r="F223" s="7" t="n"/>
      <c r="G223" s="7" t="n"/>
    </row>
    <row r="224" ht="15" customHeight="1">
      <c r="A224" s="7" t="n"/>
      <c r="B224" s="12">
        <f>IFERROR(INDEX(Panel!$B$4:$B$11,MATCH($A224,Panel!$A$4:$A$11,0)),"")</f>
        <v/>
      </c>
      <c r="C224" s="7" t="n"/>
      <c r="D224" s="12">
        <f>IFERROR(INDEX(Codebook!$B$4:$B$62,MATCH($C224,Codebook!$A$4:$A$62,0)),"")</f>
        <v/>
      </c>
      <c r="E224" s="7" t="n"/>
      <c r="F224" s="7" t="n"/>
      <c r="G224" s="7" t="n"/>
    </row>
    <row r="225" ht="15" customHeight="1">
      <c r="A225" s="7" t="n"/>
      <c r="B225" s="12">
        <f>IFERROR(INDEX(Panel!$B$4:$B$11,MATCH($A225,Panel!$A$4:$A$11,0)),"")</f>
        <v/>
      </c>
      <c r="C225" s="7" t="n"/>
      <c r="D225" s="12">
        <f>IFERROR(INDEX(Codebook!$B$4:$B$62,MATCH($C225,Codebook!$A$4:$A$62,0)),"")</f>
        <v/>
      </c>
      <c r="E225" s="7" t="n"/>
      <c r="F225" s="7" t="n"/>
      <c r="G225" s="7" t="n"/>
    </row>
    <row r="226" ht="15" customHeight="1">
      <c r="A226" s="7" t="n"/>
      <c r="B226" s="12">
        <f>IFERROR(INDEX(Panel!$B$4:$B$11,MATCH($A226,Panel!$A$4:$A$11,0)),"")</f>
        <v/>
      </c>
      <c r="C226" s="7" t="n"/>
      <c r="D226" s="12">
        <f>IFERROR(INDEX(Codebook!$B$4:$B$62,MATCH($C226,Codebook!$A$4:$A$62,0)),"")</f>
        <v/>
      </c>
      <c r="E226" s="7" t="n"/>
      <c r="F226" s="7" t="n"/>
      <c r="G226" s="7" t="n"/>
    </row>
    <row r="227" ht="15" customHeight="1">
      <c r="A227" s="7" t="n"/>
      <c r="B227" s="12">
        <f>IFERROR(INDEX(Panel!$B$4:$B$11,MATCH($A227,Panel!$A$4:$A$11,0)),"")</f>
        <v/>
      </c>
      <c r="C227" s="7" t="n"/>
      <c r="D227" s="12">
        <f>IFERROR(INDEX(Codebook!$B$4:$B$62,MATCH($C227,Codebook!$A$4:$A$62,0)),"")</f>
        <v/>
      </c>
      <c r="E227" s="7" t="n"/>
      <c r="F227" s="7" t="n"/>
      <c r="G227" s="7" t="n"/>
    </row>
    <row r="228" ht="15" customHeight="1">
      <c r="A228" s="7" t="n"/>
      <c r="B228" s="12">
        <f>IFERROR(INDEX(Panel!$B$4:$B$11,MATCH($A228,Panel!$A$4:$A$11,0)),"")</f>
        <v/>
      </c>
      <c r="C228" s="7" t="n"/>
      <c r="D228" s="12">
        <f>IFERROR(INDEX(Codebook!$B$4:$B$62,MATCH($C228,Codebook!$A$4:$A$62,0)),"")</f>
        <v/>
      </c>
      <c r="E228" s="7" t="n"/>
      <c r="F228" s="7" t="n"/>
      <c r="G228" s="7" t="n"/>
    </row>
    <row r="229" ht="15" customHeight="1">
      <c r="A229" s="7" t="n"/>
      <c r="B229" s="12">
        <f>IFERROR(INDEX(Panel!$B$4:$B$11,MATCH($A229,Panel!$A$4:$A$11,0)),"")</f>
        <v/>
      </c>
      <c r="C229" s="7" t="n"/>
      <c r="D229" s="12">
        <f>IFERROR(INDEX(Codebook!$B$4:$B$62,MATCH($C229,Codebook!$A$4:$A$62,0)),"")</f>
        <v/>
      </c>
      <c r="E229" s="7" t="n"/>
      <c r="F229" s="7" t="n"/>
      <c r="G229" s="7" t="n"/>
    </row>
    <row r="230" ht="15" customHeight="1">
      <c r="A230" s="7" t="n"/>
      <c r="B230" s="12">
        <f>IFERROR(INDEX(Panel!$B$4:$B$11,MATCH($A230,Panel!$A$4:$A$11,0)),"")</f>
        <v/>
      </c>
      <c r="C230" s="7" t="n"/>
      <c r="D230" s="12">
        <f>IFERROR(INDEX(Codebook!$B$4:$B$62,MATCH($C230,Codebook!$A$4:$A$62,0)),"")</f>
        <v/>
      </c>
      <c r="E230" s="7" t="n"/>
      <c r="F230" s="7" t="n"/>
      <c r="G230" s="7" t="n"/>
    </row>
    <row r="231" ht="15" customHeight="1">
      <c r="A231" s="7" t="n"/>
      <c r="B231" s="12">
        <f>IFERROR(INDEX(Panel!$B$4:$B$11,MATCH($A231,Panel!$A$4:$A$11,0)),"")</f>
        <v/>
      </c>
      <c r="C231" s="7" t="n"/>
      <c r="D231" s="12">
        <f>IFERROR(INDEX(Codebook!$B$4:$B$62,MATCH($C231,Codebook!$A$4:$A$62,0)),"")</f>
        <v/>
      </c>
      <c r="E231" s="7" t="n"/>
      <c r="F231" s="7" t="n"/>
      <c r="G231" s="7" t="n"/>
    </row>
    <row r="232" ht="15" customHeight="1">
      <c r="A232" s="7" t="n"/>
      <c r="B232" s="12">
        <f>IFERROR(INDEX(Panel!$B$4:$B$11,MATCH($A232,Panel!$A$4:$A$11,0)),"")</f>
        <v/>
      </c>
      <c r="C232" s="7" t="n"/>
      <c r="D232" s="12">
        <f>IFERROR(INDEX(Codebook!$B$4:$B$62,MATCH($C232,Codebook!$A$4:$A$62,0)),"")</f>
        <v/>
      </c>
      <c r="E232" s="7" t="n"/>
      <c r="F232" s="7" t="n"/>
      <c r="G232" s="7" t="n"/>
    </row>
    <row r="233" ht="15" customHeight="1">
      <c r="A233" s="7" t="n"/>
      <c r="B233" s="12">
        <f>IFERROR(INDEX(Panel!$B$4:$B$11,MATCH($A233,Panel!$A$4:$A$11,0)),"")</f>
        <v/>
      </c>
      <c r="C233" s="7" t="n"/>
      <c r="D233" s="12">
        <f>IFERROR(INDEX(Codebook!$B$4:$B$62,MATCH($C233,Codebook!$A$4:$A$62,0)),"")</f>
        <v/>
      </c>
      <c r="E233" s="7" t="n"/>
      <c r="F233" s="7" t="n"/>
      <c r="G233" s="7" t="n"/>
    </row>
    <row r="234" ht="15" customHeight="1">
      <c r="A234" s="7" t="n"/>
      <c r="B234" s="12">
        <f>IFERROR(INDEX(Panel!$B$4:$B$11,MATCH($A234,Panel!$A$4:$A$11,0)),"")</f>
        <v/>
      </c>
      <c r="C234" s="7" t="n"/>
      <c r="D234" s="12">
        <f>IFERROR(INDEX(Codebook!$B$4:$B$62,MATCH($C234,Codebook!$A$4:$A$62,0)),"")</f>
        <v/>
      </c>
      <c r="E234" s="7" t="n"/>
      <c r="F234" s="7" t="n"/>
      <c r="G234" s="7" t="n"/>
    </row>
    <row r="235" ht="15" customHeight="1">
      <c r="A235" s="7" t="n"/>
      <c r="B235" s="12">
        <f>IFERROR(INDEX(Panel!$B$4:$B$11,MATCH($A235,Panel!$A$4:$A$11,0)),"")</f>
        <v/>
      </c>
      <c r="C235" s="7" t="n"/>
      <c r="D235" s="12">
        <f>IFERROR(INDEX(Codebook!$B$4:$B$62,MATCH($C235,Codebook!$A$4:$A$62,0)),"")</f>
        <v/>
      </c>
      <c r="E235" s="7" t="n"/>
      <c r="F235" s="7" t="n"/>
      <c r="G235" s="7" t="n"/>
    </row>
    <row r="236" ht="15" customHeight="1">
      <c r="A236" s="7" t="n"/>
      <c r="B236" s="12">
        <f>IFERROR(INDEX(Panel!$B$4:$B$11,MATCH($A236,Panel!$A$4:$A$11,0)),"")</f>
        <v/>
      </c>
      <c r="C236" s="7" t="n"/>
      <c r="D236" s="12">
        <f>IFERROR(INDEX(Codebook!$B$4:$B$62,MATCH($C236,Codebook!$A$4:$A$62,0)),"")</f>
        <v/>
      </c>
      <c r="E236" s="7" t="n"/>
      <c r="F236" s="7" t="n"/>
      <c r="G236" s="7" t="n"/>
    </row>
    <row r="237" ht="15" customHeight="1">
      <c r="A237" s="7" t="n"/>
      <c r="B237" s="12">
        <f>IFERROR(INDEX(Panel!$B$4:$B$11,MATCH($A237,Panel!$A$4:$A$11,0)),"")</f>
        <v/>
      </c>
      <c r="C237" s="7" t="n"/>
      <c r="D237" s="12">
        <f>IFERROR(INDEX(Codebook!$B$4:$B$62,MATCH($C237,Codebook!$A$4:$A$62,0)),"")</f>
        <v/>
      </c>
      <c r="E237" s="7" t="n"/>
      <c r="F237" s="7" t="n"/>
      <c r="G237" s="7" t="n"/>
    </row>
    <row r="238" ht="15" customHeight="1">
      <c r="A238" s="7" t="n"/>
      <c r="B238" s="12">
        <f>IFERROR(INDEX(Panel!$B$4:$B$11,MATCH($A238,Panel!$A$4:$A$11,0)),"")</f>
        <v/>
      </c>
      <c r="C238" s="7" t="n"/>
      <c r="D238" s="12">
        <f>IFERROR(INDEX(Codebook!$B$4:$B$62,MATCH($C238,Codebook!$A$4:$A$62,0)),"")</f>
        <v/>
      </c>
      <c r="E238" s="7" t="n"/>
      <c r="F238" s="7" t="n"/>
      <c r="G238" s="7" t="n"/>
    </row>
    <row r="239" ht="15" customHeight="1">
      <c r="A239" s="7" t="n"/>
      <c r="B239" s="12">
        <f>IFERROR(INDEX(Panel!$B$4:$B$11,MATCH($A239,Panel!$A$4:$A$11,0)),"")</f>
        <v/>
      </c>
      <c r="C239" s="7" t="n"/>
      <c r="D239" s="12">
        <f>IFERROR(INDEX(Codebook!$B$4:$B$62,MATCH($C239,Codebook!$A$4:$A$62,0)),"")</f>
        <v/>
      </c>
      <c r="E239" s="7" t="n"/>
      <c r="F239" s="7" t="n"/>
      <c r="G239" s="7" t="n"/>
    </row>
    <row r="240" ht="15" customHeight="1">
      <c r="A240" s="7" t="n"/>
      <c r="B240" s="12">
        <f>IFERROR(INDEX(Panel!$B$4:$B$11,MATCH($A240,Panel!$A$4:$A$11,0)),"")</f>
        <v/>
      </c>
      <c r="C240" s="7" t="n"/>
      <c r="D240" s="12">
        <f>IFERROR(INDEX(Codebook!$B$4:$B$62,MATCH($C240,Codebook!$A$4:$A$62,0)),"")</f>
        <v/>
      </c>
      <c r="E240" s="7" t="n"/>
      <c r="F240" s="7" t="n"/>
      <c r="G240" s="7" t="n"/>
    </row>
    <row r="241" ht="15" customHeight="1">
      <c r="A241" s="7" t="n"/>
      <c r="B241" s="12">
        <f>IFERROR(INDEX(Panel!$B$4:$B$11,MATCH($A241,Panel!$A$4:$A$11,0)),"")</f>
        <v/>
      </c>
      <c r="C241" s="7" t="n"/>
      <c r="D241" s="12">
        <f>IFERROR(INDEX(Codebook!$B$4:$B$62,MATCH($C241,Codebook!$A$4:$A$62,0)),"")</f>
        <v/>
      </c>
      <c r="E241" s="7" t="n"/>
      <c r="F241" s="7" t="n"/>
      <c r="G241" s="7" t="n"/>
    </row>
    <row r="242" ht="15" customHeight="1">
      <c r="A242" s="7" t="n"/>
      <c r="B242" s="12">
        <f>IFERROR(INDEX(Panel!$B$4:$B$11,MATCH($A242,Panel!$A$4:$A$11,0)),"")</f>
        <v/>
      </c>
      <c r="C242" s="7" t="n"/>
      <c r="D242" s="12">
        <f>IFERROR(INDEX(Codebook!$B$4:$B$62,MATCH($C242,Codebook!$A$4:$A$62,0)),"")</f>
        <v/>
      </c>
      <c r="E242" s="7" t="n"/>
      <c r="F242" s="7" t="n"/>
      <c r="G242" s="7" t="n"/>
    </row>
    <row r="243" ht="15" customHeight="1">
      <c r="A243" s="7" t="n"/>
      <c r="B243" s="12">
        <f>IFERROR(INDEX(Panel!$B$4:$B$11,MATCH($A243,Panel!$A$4:$A$11,0)),"")</f>
        <v/>
      </c>
      <c r="C243" s="7" t="n"/>
      <c r="D243" s="12">
        <f>IFERROR(INDEX(Codebook!$B$4:$B$62,MATCH($C243,Codebook!$A$4:$A$62,0)),"")</f>
        <v/>
      </c>
      <c r="E243" s="7" t="n"/>
      <c r="F243" s="7" t="n"/>
      <c r="G243" s="7" t="n"/>
    </row>
    <row r="244" ht="15" customHeight="1">
      <c r="A244" s="7" t="n"/>
      <c r="B244" s="12">
        <f>IFERROR(INDEX(Panel!$B$4:$B$11,MATCH($A244,Panel!$A$4:$A$11,0)),"")</f>
        <v/>
      </c>
      <c r="C244" s="7" t="n"/>
      <c r="D244" s="12">
        <f>IFERROR(INDEX(Codebook!$B$4:$B$62,MATCH($C244,Codebook!$A$4:$A$62,0)),"")</f>
        <v/>
      </c>
      <c r="E244" s="7" t="n"/>
      <c r="F244" s="7" t="n"/>
      <c r="G244" s="7" t="n"/>
    </row>
    <row r="245" ht="15" customHeight="1">
      <c r="A245" s="7" t="n"/>
      <c r="B245" s="12">
        <f>IFERROR(INDEX(Panel!$B$4:$B$11,MATCH($A245,Panel!$A$4:$A$11,0)),"")</f>
        <v/>
      </c>
      <c r="C245" s="7" t="n"/>
      <c r="D245" s="12">
        <f>IFERROR(INDEX(Codebook!$B$4:$B$62,MATCH($C245,Codebook!$A$4:$A$62,0)),"")</f>
        <v/>
      </c>
      <c r="E245" s="7" t="n"/>
      <c r="F245" s="7" t="n"/>
      <c r="G245" s="7" t="n"/>
    </row>
    <row r="246" ht="15" customHeight="1">
      <c r="A246" s="7" t="n"/>
      <c r="B246" s="12">
        <f>IFERROR(INDEX(Panel!$B$4:$B$11,MATCH($A246,Panel!$A$4:$A$11,0)),"")</f>
        <v/>
      </c>
      <c r="C246" s="7" t="n"/>
      <c r="D246" s="12">
        <f>IFERROR(INDEX(Codebook!$B$4:$B$62,MATCH($C246,Codebook!$A$4:$A$62,0)),"")</f>
        <v/>
      </c>
      <c r="E246" s="7" t="n"/>
      <c r="F246" s="7" t="n"/>
      <c r="G246" s="7" t="n"/>
    </row>
    <row r="247" ht="15" customHeight="1">
      <c r="A247" s="7" t="n"/>
      <c r="B247" s="12">
        <f>IFERROR(INDEX(Panel!$B$4:$B$11,MATCH($A247,Panel!$A$4:$A$11,0)),"")</f>
        <v/>
      </c>
      <c r="C247" s="7" t="n"/>
      <c r="D247" s="12">
        <f>IFERROR(INDEX(Codebook!$B$4:$B$62,MATCH($C247,Codebook!$A$4:$A$62,0)),"")</f>
        <v/>
      </c>
      <c r="E247" s="7" t="n"/>
      <c r="F247" s="7" t="n"/>
      <c r="G247" s="7" t="n"/>
    </row>
    <row r="248" ht="15" customHeight="1">
      <c r="A248" s="7" t="n"/>
      <c r="B248" s="12">
        <f>IFERROR(INDEX(Panel!$B$4:$B$11,MATCH($A248,Panel!$A$4:$A$11,0)),"")</f>
        <v/>
      </c>
      <c r="C248" s="7" t="n"/>
      <c r="D248" s="12">
        <f>IFERROR(INDEX(Codebook!$B$4:$B$62,MATCH($C248,Codebook!$A$4:$A$62,0)),"")</f>
        <v/>
      </c>
      <c r="E248" s="7" t="n"/>
      <c r="F248" s="7" t="n"/>
      <c r="G248" s="7" t="n"/>
    </row>
    <row r="249" ht="15" customHeight="1">
      <c r="A249" s="7" t="n"/>
      <c r="B249" s="12">
        <f>IFERROR(INDEX(Panel!$B$4:$B$11,MATCH($A249,Panel!$A$4:$A$11,0)),"")</f>
        <v/>
      </c>
      <c r="C249" s="7" t="n"/>
      <c r="D249" s="12">
        <f>IFERROR(INDEX(Codebook!$B$4:$B$62,MATCH($C249,Codebook!$A$4:$A$62,0)),"")</f>
        <v/>
      </c>
      <c r="E249" s="7" t="n"/>
      <c r="F249" s="7" t="n"/>
      <c r="G249" s="7" t="n"/>
    </row>
    <row r="250" ht="15" customHeight="1">
      <c r="A250" s="7" t="n"/>
      <c r="B250" s="12">
        <f>IFERROR(INDEX(Panel!$B$4:$B$11,MATCH($A250,Panel!$A$4:$A$11,0)),"")</f>
        <v/>
      </c>
      <c r="C250" s="7" t="n"/>
      <c r="D250" s="12">
        <f>IFERROR(INDEX(Codebook!$B$4:$B$62,MATCH($C250,Codebook!$A$4:$A$62,0)),"")</f>
        <v/>
      </c>
      <c r="E250" s="7" t="n"/>
      <c r="F250" s="7" t="n"/>
      <c r="G250" s="7" t="n"/>
    </row>
    <row r="251" ht="15" customHeight="1">
      <c r="A251" s="7" t="n"/>
      <c r="B251" s="12">
        <f>IFERROR(INDEX(Panel!$B$4:$B$11,MATCH($A251,Panel!$A$4:$A$11,0)),"")</f>
        <v/>
      </c>
      <c r="C251" s="7" t="n"/>
      <c r="D251" s="12">
        <f>IFERROR(INDEX(Codebook!$B$4:$B$62,MATCH($C251,Codebook!$A$4:$A$62,0)),"")</f>
        <v/>
      </c>
      <c r="E251" s="7" t="n"/>
      <c r="F251" s="7" t="n"/>
      <c r="G251" s="7" t="n"/>
    </row>
    <row r="252" ht="15" customHeight="1">
      <c r="A252" s="7" t="n"/>
      <c r="B252" s="12">
        <f>IFERROR(INDEX(Panel!$B$4:$B$11,MATCH($A252,Panel!$A$4:$A$11,0)),"")</f>
        <v/>
      </c>
      <c r="C252" s="7" t="n"/>
      <c r="D252" s="12">
        <f>IFERROR(INDEX(Codebook!$B$4:$B$62,MATCH($C252,Codebook!$A$4:$A$62,0)),"")</f>
        <v/>
      </c>
      <c r="E252" s="7" t="n"/>
      <c r="F252" s="7" t="n"/>
      <c r="G252" s="7" t="n"/>
    </row>
    <row r="253" ht="15" customHeight="1">
      <c r="A253" s="7" t="n"/>
      <c r="B253" s="12">
        <f>IFERROR(INDEX(Panel!$B$4:$B$11,MATCH($A253,Panel!$A$4:$A$11,0)),"")</f>
        <v/>
      </c>
      <c r="C253" s="7" t="n"/>
      <c r="D253" s="12">
        <f>IFERROR(INDEX(Codebook!$B$4:$B$62,MATCH($C253,Codebook!$A$4:$A$62,0)),"")</f>
        <v/>
      </c>
      <c r="E253" s="7" t="n"/>
      <c r="F253" s="7" t="n"/>
      <c r="G253" s="7" t="n"/>
    </row>
    <row r="254" ht="15" customHeight="1">
      <c r="A254" s="7" t="n"/>
      <c r="B254" s="12">
        <f>IFERROR(INDEX(Panel!$B$4:$B$11,MATCH($A254,Panel!$A$4:$A$11,0)),"")</f>
        <v/>
      </c>
      <c r="C254" s="7" t="n"/>
      <c r="D254" s="12">
        <f>IFERROR(INDEX(Codebook!$B$4:$B$62,MATCH($C254,Codebook!$A$4:$A$62,0)),"")</f>
        <v/>
      </c>
      <c r="E254" s="7" t="n"/>
      <c r="F254" s="7" t="n"/>
      <c r="G254" s="7" t="n"/>
    </row>
    <row r="255" ht="15" customHeight="1">
      <c r="A255" s="7" t="n"/>
      <c r="B255" s="12">
        <f>IFERROR(INDEX(Panel!$B$4:$B$11,MATCH($A255,Panel!$A$4:$A$11,0)),"")</f>
        <v/>
      </c>
      <c r="C255" s="7" t="n"/>
      <c r="D255" s="12">
        <f>IFERROR(INDEX(Codebook!$B$4:$B$62,MATCH($C255,Codebook!$A$4:$A$62,0)),"")</f>
        <v/>
      </c>
      <c r="E255" s="7" t="n"/>
      <c r="F255" s="7" t="n"/>
      <c r="G255" s="7" t="n"/>
    </row>
    <row r="256" ht="15" customHeight="1">
      <c r="A256" s="7" t="n"/>
      <c r="B256" s="12">
        <f>IFERROR(INDEX(Panel!$B$4:$B$11,MATCH($A256,Panel!$A$4:$A$11,0)),"")</f>
        <v/>
      </c>
      <c r="C256" s="7" t="n"/>
      <c r="D256" s="12">
        <f>IFERROR(INDEX(Codebook!$B$4:$B$62,MATCH($C256,Codebook!$A$4:$A$62,0)),"")</f>
        <v/>
      </c>
      <c r="E256" s="7" t="n"/>
      <c r="F256" s="7" t="n"/>
      <c r="G256" s="7" t="n"/>
    </row>
    <row r="257" ht="15" customHeight="1">
      <c r="A257" s="7" t="n"/>
      <c r="B257" s="12">
        <f>IFERROR(INDEX(Panel!$B$4:$B$11,MATCH($A257,Panel!$A$4:$A$11,0)),"")</f>
        <v/>
      </c>
      <c r="C257" s="7" t="n"/>
      <c r="D257" s="12">
        <f>IFERROR(INDEX(Codebook!$B$4:$B$62,MATCH($C257,Codebook!$A$4:$A$62,0)),"")</f>
        <v/>
      </c>
      <c r="E257" s="7" t="n"/>
      <c r="F257" s="7" t="n"/>
      <c r="G257" s="7" t="n"/>
    </row>
    <row r="258" ht="15" customHeight="1">
      <c r="A258" s="7" t="n"/>
      <c r="B258" s="12">
        <f>IFERROR(INDEX(Panel!$B$4:$B$11,MATCH($A258,Panel!$A$4:$A$11,0)),"")</f>
        <v/>
      </c>
      <c r="C258" s="7" t="n"/>
      <c r="D258" s="12">
        <f>IFERROR(INDEX(Codebook!$B$4:$B$62,MATCH($C258,Codebook!$A$4:$A$62,0)),"")</f>
        <v/>
      </c>
      <c r="E258" s="7" t="n"/>
      <c r="F258" s="7" t="n"/>
      <c r="G258" s="7" t="n"/>
    </row>
    <row r="259" ht="15" customHeight="1">
      <c r="A259" s="7" t="n"/>
      <c r="B259" s="12">
        <f>IFERROR(INDEX(Panel!$B$4:$B$11,MATCH($A259,Panel!$A$4:$A$11,0)),"")</f>
        <v/>
      </c>
      <c r="C259" s="7" t="n"/>
      <c r="D259" s="12">
        <f>IFERROR(INDEX(Codebook!$B$4:$B$62,MATCH($C259,Codebook!$A$4:$A$62,0)),"")</f>
        <v/>
      </c>
      <c r="E259" s="7" t="n"/>
      <c r="F259" s="7" t="n"/>
      <c r="G259" s="7" t="n"/>
    </row>
    <row r="260" ht="15" customHeight="1">
      <c r="A260" s="7" t="n"/>
      <c r="B260" s="12">
        <f>IFERROR(INDEX(Panel!$B$4:$B$11,MATCH($A260,Panel!$A$4:$A$11,0)),"")</f>
        <v/>
      </c>
      <c r="C260" s="7" t="n"/>
      <c r="D260" s="12">
        <f>IFERROR(INDEX(Codebook!$B$4:$B$62,MATCH($C260,Codebook!$A$4:$A$62,0)),"")</f>
        <v/>
      </c>
      <c r="E260" s="7" t="n"/>
      <c r="F260" s="7" t="n"/>
      <c r="G260" s="7" t="n"/>
    </row>
    <row r="261" ht="15" customHeight="1">
      <c r="A261" s="7" t="n"/>
      <c r="B261" s="12">
        <f>IFERROR(INDEX(Panel!$B$4:$B$11,MATCH($A261,Panel!$A$4:$A$11,0)),"")</f>
        <v/>
      </c>
      <c r="C261" s="7" t="n"/>
      <c r="D261" s="12">
        <f>IFERROR(INDEX(Codebook!$B$4:$B$62,MATCH($C261,Codebook!$A$4:$A$62,0)),"")</f>
        <v/>
      </c>
      <c r="E261" s="7" t="n"/>
      <c r="F261" s="7" t="n"/>
      <c r="G261" s="7" t="n"/>
    </row>
    <row r="262" ht="15" customHeight="1">
      <c r="A262" s="7" t="n"/>
      <c r="B262" s="12">
        <f>IFERROR(INDEX(Panel!$B$4:$B$11,MATCH($A262,Panel!$A$4:$A$11,0)),"")</f>
        <v/>
      </c>
      <c r="C262" s="7" t="n"/>
      <c r="D262" s="12">
        <f>IFERROR(INDEX(Codebook!$B$4:$B$62,MATCH($C262,Codebook!$A$4:$A$62,0)),"")</f>
        <v/>
      </c>
      <c r="E262" s="7" t="n"/>
      <c r="F262" s="7" t="n"/>
      <c r="G262" s="7" t="n"/>
    </row>
    <row r="263" ht="15" customHeight="1">
      <c r="A263" s="7" t="n"/>
      <c r="B263" s="12">
        <f>IFERROR(INDEX(Panel!$B$4:$B$11,MATCH($A263,Panel!$A$4:$A$11,0)),"")</f>
        <v/>
      </c>
      <c r="C263" s="7" t="n"/>
      <c r="D263" s="12">
        <f>IFERROR(INDEX(Codebook!$B$4:$B$62,MATCH($C263,Codebook!$A$4:$A$62,0)),"")</f>
        <v/>
      </c>
      <c r="E263" s="7" t="n"/>
      <c r="F263" s="7" t="n"/>
      <c r="G263" s="7" t="n"/>
    </row>
    <row r="264" ht="15" customHeight="1">
      <c r="A264" s="7" t="n"/>
      <c r="B264" s="12">
        <f>IFERROR(INDEX(Panel!$B$4:$B$11,MATCH($A264,Panel!$A$4:$A$11,0)),"")</f>
        <v/>
      </c>
      <c r="C264" s="7" t="n"/>
      <c r="D264" s="12">
        <f>IFERROR(INDEX(Codebook!$B$4:$B$62,MATCH($C264,Codebook!$A$4:$A$62,0)),"")</f>
        <v/>
      </c>
      <c r="E264" s="7" t="n"/>
      <c r="F264" s="7" t="n"/>
      <c r="G264" s="7" t="n"/>
    </row>
    <row r="265" ht="15" customHeight="1">
      <c r="A265" s="7" t="n"/>
      <c r="B265" s="12">
        <f>IFERROR(INDEX(Panel!$B$4:$B$11,MATCH($A265,Panel!$A$4:$A$11,0)),"")</f>
        <v/>
      </c>
      <c r="C265" s="7" t="n"/>
      <c r="D265" s="12">
        <f>IFERROR(INDEX(Codebook!$B$4:$B$62,MATCH($C265,Codebook!$A$4:$A$62,0)),"")</f>
        <v/>
      </c>
      <c r="E265" s="7" t="n"/>
      <c r="F265" s="7" t="n"/>
      <c r="G265" s="7" t="n"/>
    </row>
    <row r="266" ht="15" customHeight="1">
      <c r="A266" s="7" t="n"/>
      <c r="B266" s="12">
        <f>IFERROR(INDEX(Panel!$B$4:$B$11,MATCH($A266,Panel!$A$4:$A$11,0)),"")</f>
        <v/>
      </c>
      <c r="C266" s="7" t="n"/>
      <c r="D266" s="12">
        <f>IFERROR(INDEX(Codebook!$B$4:$B$62,MATCH($C266,Codebook!$A$4:$A$62,0)),"")</f>
        <v/>
      </c>
      <c r="E266" s="7" t="n"/>
      <c r="F266" s="7" t="n"/>
      <c r="G266" s="7" t="n"/>
    </row>
    <row r="267" ht="15" customHeight="1">
      <c r="A267" s="7" t="n"/>
      <c r="B267" s="12">
        <f>IFERROR(INDEX(Panel!$B$4:$B$11,MATCH($A267,Panel!$A$4:$A$11,0)),"")</f>
        <v/>
      </c>
      <c r="C267" s="7" t="n"/>
      <c r="D267" s="12">
        <f>IFERROR(INDEX(Codebook!$B$4:$B$62,MATCH($C267,Codebook!$A$4:$A$62,0)),"")</f>
        <v/>
      </c>
      <c r="E267" s="7" t="n"/>
      <c r="F267" s="7" t="n"/>
      <c r="G267" s="7" t="n"/>
    </row>
    <row r="268" ht="15" customHeight="1">
      <c r="A268" s="7" t="n"/>
      <c r="B268" s="12">
        <f>IFERROR(INDEX(Panel!$B$4:$B$11,MATCH($A268,Panel!$A$4:$A$11,0)),"")</f>
        <v/>
      </c>
      <c r="C268" s="7" t="n"/>
      <c r="D268" s="12">
        <f>IFERROR(INDEX(Codebook!$B$4:$B$62,MATCH($C268,Codebook!$A$4:$A$62,0)),"")</f>
        <v/>
      </c>
      <c r="E268" s="7" t="n"/>
      <c r="F268" s="7" t="n"/>
      <c r="G268" s="7" t="n"/>
    </row>
    <row r="269" ht="15" customHeight="1">
      <c r="A269" s="7" t="n"/>
      <c r="B269" s="12">
        <f>IFERROR(INDEX(Panel!$B$4:$B$11,MATCH($A269,Panel!$A$4:$A$11,0)),"")</f>
        <v/>
      </c>
      <c r="C269" s="7" t="n"/>
      <c r="D269" s="12">
        <f>IFERROR(INDEX(Codebook!$B$4:$B$62,MATCH($C269,Codebook!$A$4:$A$62,0)),"")</f>
        <v/>
      </c>
      <c r="E269" s="7" t="n"/>
      <c r="F269" s="7" t="n"/>
      <c r="G269" s="7" t="n"/>
    </row>
    <row r="270" ht="15" customHeight="1">
      <c r="A270" s="7" t="n"/>
      <c r="B270" s="12">
        <f>IFERROR(INDEX(Panel!$B$4:$B$11,MATCH($A270,Panel!$A$4:$A$11,0)),"")</f>
        <v/>
      </c>
      <c r="C270" s="7" t="n"/>
      <c r="D270" s="12">
        <f>IFERROR(INDEX(Codebook!$B$4:$B$62,MATCH($C270,Codebook!$A$4:$A$62,0)),"")</f>
        <v/>
      </c>
      <c r="E270" s="7" t="n"/>
      <c r="F270" s="7" t="n"/>
      <c r="G270" s="7" t="n"/>
    </row>
    <row r="271" ht="15" customHeight="1">
      <c r="A271" s="7" t="n"/>
      <c r="B271" s="12">
        <f>IFERROR(INDEX(Panel!$B$4:$B$11,MATCH($A271,Panel!$A$4:$A$11,0)),"")</f>
        <v/>
      </c>
      <c r="C271" s="7" t="n"/>
      <c r="D271" s="12">
        <f>IFERROR(INDEX(Codebook!$B$4:$B$62,MATCH($C271,Codebook!$A$4:$A$62,0)),"")</f>
        <v/>
      </c>
      <c r="E271" s="7" t="n"/>
      <c r="F271" s="7" t="n"/>
      <c r="G271" s="7" t="n"/>
    </row>
    <row r="272" ht="15" customHeight="1">
      <c r="A272" s="7" t="n"/>
      <c r="B272" s="12">
        <f>IFERROR(INDEX(Panel!$B$4:$B$11,MATCH($A272,Panel!$A$4:$A$11,0)),"")</f>
        <v/>
      </c>
      <c r="C272" s="7" t="n"/>
      <c r="D272" s="12">
        <f>IFERROR(INDEX(Codebook!$B$4:$B$62,MATCH($C272,Codebook!$A$4:$A$62,0)),"")</f>
        <v/>
      </c>
      <c r="E272" s="7" t="n"/>
      <c r="F272" s="7" t="n"/>
      <c r="G272" s="7" t="n"/>
    </row>
    <row r="273" ht="15" customHeight="1">
      <c r="A273" s="7" t="n"/>
      <c r="B273" s="12">
        <f>IFERROR(INDEX(Panel!$B$4:$B$11,MATCH($A273,Panel!$A$4:$A$11,0)),"")</f>
        <v/>
      </c>
      <c r="C273" s="7" t="n"/>
      <c r="D273" s="12">
        <f>IFERROR(INDEX(Codebook!$B$4:$B$62,MATCH($C273,Codebook!$A$4:$A$62,0)),"")</f>
        <v/>
      </c>
      <c r="E273" s="7" t="n"/>
      <c r="F273" s="7" t="n"/>
      <c r="G273" s="7" t="n"/>
    </row>
    <row r="274" ht="15" customHeight="1">
      <c r="A274" s="7" t="n"/>
      <c r="B274" s="12">
        <f>IFERROR(INDEX(Panel!$B$4:$B$11,MATCH($A274,Panel!$A$4:$A$11,0)),"")</f>
        <v/>
      </c>
      <c r="C274" s="7" t="n"/>
      <c r="D274" s="12">
        <f>IFERROR(INDEX(Codebook!$B$4:$B$62,MATCH($C274,Codebook!$A$4:$A$62,0)),"")</f>
        <v/>
      </c>
      <c r="E274" s="7" t="n"/>
      <c r="F274" s="7" t="n"/>
      <c r="G274" s="7" t="n"/>
    </row>
    <row r="275" ht="15" customHeight="1">
      <c r="A275" s="7" t="n"/>
      <c r="B275" s="12">
        <f>IFERROR(INDEX(Panel!$B$4:$B$11,MATCH($A275,Panel!$A$4:$A$11,0)),"")</f>
        <v/>
      </c>
      <c r="C275" s="7" t="n"/>
      <c r="D275" s="12">
        <f>IFERROR(INDEX(Codebook!$B$4:$B$62,MATCH($C275,Codebook!$A$4:$A$62,0)),"")</f>
        <v/>
      </c>
      <c r="E275" s="7" t="n"/>
      <c r="F275" s="7" t="n"/>
      <c r="G275" s="7" t="n"/>
    </row>
    <row r="276" ht="15" customHeight="1">
      <c r="A276" s="7" t="n"/>
      <c r="B276" s="12">
        <f>IFERROR(INDEX(Panel!$B$4:$B$11,MATCH($A276,Panel!$A$4:$A$11,0)),"")</f>
        <v/>
      </c>
      <c r="C276" s="7" t="n"/>
      <c r="D276" s="12">
        <f>IFERROR(INDEX(Codebook!$B$4:$B$62,MATCH($C276,Codebook!$A$4:$A$62,0)),"")</f>
        <v/>
      </c>
      <c r="E276" s="7" t="n"/>
      <c r="F276" s="7" t="n"/>
      <c r="G276" s="7" t="n"/>
    </row>
    <row r="277" ht="15" customHeight="1">
      <c r="A277" s="7" t="n"/>
      <c r="B277" s="12">
        <f>IFERROR(INDEX(Panel!$B$4:$B$11,MATCH($A277,Panel!$A$4:$A$11,0)),"")</f>
        <v/>
      </c>
      <c r="C277" s="7" t="n"/>
      <c r="D277" s="12">
        <f>IFERROR(INDEX(Codebook!$B$4:$B$62,MATCH($C277,Codebook!$A$4:$A$62,0)),"")</f>
        <v/>
      </c>
      <c r="E277" s="7" t="n"/>
      <c r="F277" s="7" t="n"/>
      <c r="G277" s="7" t="n"/>
    </row>
    <row r="278" ht="15" customHeight="1">
      <c r="A278" s="7" t="n"/>
      <c r="B278" s="12">
        <f>IFERROR(INDEX(Panel!$B$4:$B$11,MATCH($A278,Panel!$A$4:$A$11,0)),"")</f>
        <v/>
      </c>
      <c r="C278" s="7" t="n"/>
      <c r="D278" s="12">
        <f>IFERROR(INDEX(Codebook!$B$4:$B$62,MATCH($C278,Codebook!$A$4:$A$62,0)),"")</f>
        <v/>
      </c>
      <c r="E278" s="7" t="n"/>
      <c r="F278" s="7" t="n"/>
      <c r="G278" s="7" t="n"/>
    </row>
    <row r="279" ht="15" customHeight="1">
      <c r="A279" s="7" t="n"/>
      <c r="B279" s="12">
        <f>IFERROR(INDEX(Panel!$B$4:$B$11,MATCH($A279,Panel!$A$4:$A$11,0)),"")</f>
        <v/>
      </c>
      <c r="C279" s="7" t="n"/>
      <c r="D279" s="12">
        <f>IFERROR(INDEX(Codebook!$B$4:$B$62,MATCH($C279,Codebook!$A$4:$A$62,0)),"")</f>
        <v/>
      </c>
      <c r="E279" s="7" t="n"/>
      <c r="F279" s="7" t="n"/>
      <c r="G279" s="7" t="n"/>
    </row>
    <row r="280" ht="15" customHeight="1">
      <c r="A280" s="7" t="n"/>
      <c r="B280" s="12">
        <f>IFERROR(INDEX(Panel!$B$4:$B$11,MATCH($A280,Panel!$A$4:$A$11,0)),"")</f>
        <v/>
      </c>
      <c r="C280" s="7" t="n"/>
      <c r="D280" s="12">
        <f>IFERROR(INDEX(Codebook!$B$4:$B$62,MATCH($C280,Codebook!$A$4:$A$62,0)),"")</f>
        <v/>
      </c>
      <c r="E280" s="7" t="n"/>
      <c r="F280" s="7" t="n"/>
      <c r="G280" s="7" t="n"/>
    </row>
    <row r="281" ht="15" customHeight="1">
      <c r="A281" s="7" t="n"/>
      <c r="B281" s="12">
        <f>IFERROR(INDEX(Panel!$B$4:$B$11,MATCH($A281,Panel!$A$4:$A$11,0)),"")</f>
        <v/>
      </c>
      <c r="C281" s="7" t="n"/>
      <c r="D281" s="12">
        <f>IFERROR(INDEX(Codebook!$B$4:$B$62,MATCH($C281,Codebook!$A$4:$A$62,0)),"")</f>
        <v/>
      </c>
      <c r="E281" s="7" t="n"/>
      <c r="F281" s="7" t="n"/>
      <c r="G281" s="7" t="n"/>
    </row>
    <row r="282" ht="15" customHeight="1">
      <c r="A282" s="7" t="n"/>
      <c r="B282" s="12">
        <f>IFERROR(INDEX(Panel!$B$4:$B$11,MATCH($A282,Panel!$A$4:$A$11,0)),"")</f>
        <v/>
      </c>
      <c r="C282" s="7" t="n"/>
      <c r="D282" s="12">
        <f>IFERROR(INDEX(Codebook!$B$4:$B$62,MATCH($C282,Codebook!$A$4:$A$62,0)),"")</f>
        <v/>
      </c>
      <c r="E282" s="7" t="n"/>
      <c r="F282" s="7" t="n"/>
      <c r="G282" s="7" t="n"/>
    </row>
    <row r="283" ht="15" customHeight="1">
      <c r="A283" s="7" t="n"/>
      <c r="B283" s="12">
        <f>IFERROR(INDEX(Panel!$B$4:$B$11,MATCH($A283,Panel!$A$4:$A$11,0)),"")</f>
        <v/>
      </c>
      <c r="C283" s="7" t="n"/>
      <c r="D283" s="12">
        <f>IFERROR(INDEX(Codebook!$B$4:$B$62,MATCH($C283,Codebook!$A$4:$A$62,0)),"")</f>
        <v/>
      </c>
      <c r="E283" s="7" t="n"/>
      <c r="F283" s="7" t="n"/>
      <c r="G283" s="7" t="n"/>
    </row>
    <row r="284" ht="15" customHeight="1">
      <c r="A284" s="7" t="n"/>
      <c r="B284" s="12">
        <f>IFERROR(INDEX(Panel!$B$4:$B$11,MATCH($A284,Panel!$A$4:$A$11,0)),"")</f>
        <v/>
      </c>
      <c r="C284" s="7" t="n"/>
      <c r="D284" s="12">
        <f>IFERROR(INDEX(Codebook!$B$4:$B$62,MATCH($C284,Codebook!$A$4:$A$62,0)),"")</f>
        <v/>
      </c>
      <c r="E284" s="7" t="n"/>
      <c r="F284" s="7" t="n"/>
      <c r="G284" s="7" t="n"/>
    </row>
    <row r="285" ht="15" customHeight="1">
      <c r="A285" s="7" t="n"/>
      <c r="B285" s="12">
        <f>IFERROR(INDEX(Panel!$B$4:$B$11,MATCH($A285,Panel!$A$4:$A$11,0)),"")</f>
        <v/>
      </c>
      <c r="C285" s="7" t="n"/>
      <c r="D285" s="12">
        <f>IFERROR(INDEX(Codebook!$B$4:$B$62,MATCH($C285,Codebook!$A$4:$A$62,0)),"")</f>
        <v/>
      </c>
      <c r="E285" s="7" t="n"/>
      <c r="F285" s="7" t="n"/>
      <c r="G285" s="7" t="n"/>
    </row>
    <row r="286" ht="15" customHeight="1">
      <c r="A286" s="7" t="n"/>
      <c r="B286" s="12">
        <f>IFERROR(INDEX(Panel!$B$4:$B$11,MATCH($A286,Panel!$A$4:$A$11,0)),"")</f>
        <v/>
      </c>
      <c r="C286" s="7" t="n"/>
      <c r="D286" s="12">
        <f>IFERROR(INDEX(Codebook!$B$4:$B$62,MATCH($C286,Codebook!$A$4:$A$62,0)),"")</f>
        <v/>
      </c>
      <c r="E286" s="7" t="n"/>
      <c r="F286" s="7" t="n"/>
      <c r="G286" s="7" t="n"/>
    </row>
    <row r="287" ht="15" customHeight="1">
      <c r="A287" s="7" t="n"/>
      <c r="B287" s="12">
        <f>IFERROR(INDEX(Panel!$B$4:$B$11,MATCH($A287,Panel!$A$4:$A$11,0)),"")</f>
        <v/>
      </c>
      <c r="C287" s="7" t="n"/>
      <c r="D287" s="12">
        <f>IFERROR(INDEX(Codebook!$B$4:$B$62,MATCH($C287,Codebook!$A$4:$A$62,0)),"")</f>
        <v/>
      </c>
      <c r="E287" s="7" t="n"/>
      <c r="F287" s="7" t="n"/>
      <c r="G287" s="7" t="n"/>
    </row>
    <row r="288" ht="15" customHeight="1">
      <c r="A288" s="7" t="n"/>
      <c r="B288" s="12">
        <f>IFERROR(INDEX(Panel!$B$4:$B$11,MATCH($A288,Panel!$A$4:$A$11,0)),"")</f>
        <v/>
      </c>
      <c r="C288" s="7" t="n"/>
      <c r="D288" s="12">
        <f>IFERROR(INDEX(Codebook!$B$4:$B$62,MATCH($C288,Codebook!$A$4:$A$62,0)),"")</f>
        <v/>
      </c>
      <c r="E288" s="7" t="n"/>
      <c r="F288" s="7" t="n"/>
      <c r="G288" s="7" t="n"/>
    </row>
    <row r="289" ht="15" customHeight="1">
      <c r="A289" s="7" t="n"/>
      <c r="B289" s="12">
        <f>IFERROR(INDEX(Panel!$B$4:$B$11,MATCH($A289,Panel!$A$4:$A$11,0)),"")</f>
        <v/>
      </c>
      <c r="C289" s="7" t="n"/>
      <c r="D289" s="12">
        <f>IFERROR(INDEX(Codebook!$B$4:$B$62,MATCH($C289,Codebook!$A$4:$A$62,0)),"")</f>
        <v/>
      </c>
      <c r="E289" s="7" t="n"/>
      <c r="F289" s="7" t="n"/>
      <c r="G289" s="7" t="n"/>
    </row>
    <row r="290" ht="15" customHeight="1">
      <c r="A290" s="7" t="n"/>
      <c r="B290" s="12">
        <f>IFERROR(INDEX(Panel!$B$4:$B$11,MATCH($A290,Panel!$A$4:$A$11,0)),"")</f>
        <v/>
      </c>
      <c r="C290" s="7" t="n"/>
      <c r="D290" s="12">
        <f>IFERROR(INDEX(Codebook!$B$4:$B$62,MATCH($C290,Codebook!$A$4:$A$62,0)),"")</f>
        <v/>
      </c>
      <c r="E290" s="7" t="n"/>
      <c r="F290" s="7" t="n"/>
      <c r="G290" s="7" t="n"/>
    </row>
    <row r="291" ht="15" customHeight="1">
      <c r="A291" s="7" t="n"/>
      <c r="B291" s="12">
        <f>IFERROR(INDEX(Panel!$B$4:$B$11,MATCH($A291,Panel!$A$4:$A$11,0)),"")</f>
        <v/>
      </c>
      <c r="C291" s="7" t="n"/>
      <c r="D291" s="12">
        <f>IFERROR(INDEX(Codebook!$B$4:$B$62,MATCH($C291,Codebook!$A$4:$A$62,0)),"")</f>
        <v/>
      </c>
      <c r="E291" s="7" t="n"/>
      <c r="F291" s="7" t="n"/>
      <c r="G291" s="7" t="n"/>
    </row>
    <row r="292" ht="15" customHeight="1">
      <c r="A292" s="7" t="n"/>
      <c r="B292" s="12">
        <f>IFERROR(INDEX(Panel!$B$4:$B$11,MATCH($A292,Panel!$A$4:$A$11,0)),"")</f>
        <v/>
      </c>
      <c r="C292" s="7" t="n"/>
      <c r="D292" s="12">
        <f>IFERROR(INDEX(Codebook!$B$4:$B$62,MATCH($C292,Codebook!$A$4:$A$62,0)),"")</f>
        <v/>
      </c>
      <c r="E292" s="7" t="n"/>
      <c r="F292" s="7" t="n"/>
      <c r="G292" s="7" t="n"/>
    </row>
    <row r="293" ht="15" customHeight="1">
      <c r="A293" s="7" t="n"/>
      <c r="B293" s="12">
        <f>IFERROR(INDEX(Panel!$B$4:$B$11,MATCH($A293,Panel!$A$4:$A$11,0)),"")</f>
        <v/>
      </c>
      <c r="C293" s="7" t="n"/>
      <c r="D293" s="12">
        <f>IFERROR(INDEX(Codebook!$B$4:$B$62,MATCH($C293,Codebook!$A$4:$A$62,0)),"")</f>
        <v/>
      </c>
      <c r="E293" s="7" t="n"/>
      <c r="F293" s="7" t="n"/>
      <c r="G293" s="7" t="n"/>
    </row>
    <row r="294" ht="15" customHeight="1">
      <c r="A294" s="7" t="n"/>
      <c r="B294" s="12">
        <f>IFERROR(INDEX(Panel!$B$4:$B$11,MATCH($A294,Panel!$A$4:$A$11,0)),"")</f>
        <v/>
      </c>
      <c r="C294" s="7" t="n"/>
      <c r="D294" s="12">
        <f>IFERROR(INDEX(Codebook!$B$4:$B$62,MATCH($C294,Codebook!$A$4:$A$62,0)),"")</f>
        <v/>
      </c>
      <c r="E294" s="7" t="n"/>
      <c r="F294" s="7" t="n"/>
      <c r="G294" s="7" t="n"/>
    </row>
    <row r="295" ht="15" customHeight="1">
      <c r="A295" s="7" t="n"/>
      <c r="B295" s="12">
        <f>IFERROR(INDEX(Panel!$B$4:$B$11,MATCH($A295,Panel!$A$4:$A$11,0)),"")</f>
        <v/>
      </c>
      <c r="C295" s="7" t="n"/>
      <c r="D295" s="12">
        <f>IFERROR(INDEX(Codebook!$B$4:$B$62,MATCH($C295,Codebook!$A$4:$A$62,0)),"")</f>
        <v/>
      </c>
      <c r="E295" s="7" t="n"/>
      <c r="F295" s="7" t="n"/>
      <c r="G295" s="7" t="n"/>
    </row>
    <row r="296" ht="15" customHeight="1">
      <c r="A296" s="7" t="n"/>
      <c r="B296" s="12">
        <f>IFERROR(INDEX(Panel!$B$4:$B$11,MATCH($A296,Panel!$A$4:$A$11,0)),"")</f>
        <v/>
      </c>
      <c r="C296" s="7" t="n"/>
      <c r="D296" s="12">
        <f>IFERROR(INDEX(Codebook!$B$4:$B$62,MATCH($C296,Codebook!$A$4:$A$62,0)),"")</f>
        <v/>
      </c>
      <c r="E296" s="7" t="n"/>
      <c r="F296" s="7" t="n"/>
      <c r="G296" s="7" t="n"/>
    </row>
    <row r="297" ht="15" customHeight="1">
      <c r="A297" s="7" t="n"/>
      <c r="B297" s="12">
        <f>IFERROR(INDEX(Panel!$B$4:$B$11,MATCH($A297,Panel!$A$4:$A$11,0)),"")</f>
        <v/>
      </c>
      <c r="C297" s="7" t="n"/>
      <c r="D297" s="12">
        <f>IFERROR(INDEX(Codebook!$B$4:$B$62,MATCH($C297,Codebook!$A$4:$A$62,0)),"")</f>
        <v/>
      </c>
      <c r="E297" s="7" t="n"/>
      <c r="F297" s="7" t="n"/>
      <c r="G297" s="7" t="n"/>
    </row>
    <row r="298" ht="15" customHeight="1">
      <c r="A298" s="7" t="n"/>
      <c r="B298" s="12">
        <f>IFERROR(INDEX(Panel!$B$4:$B$11,MATCH($A298,Panel!$A$4:$A$11,0)),"")</f>
        <v/>
      </c>
      <c r="C298" s="7" t="n"/>
      <c r="D298" s="12">
        <f>IFERROR(INDEX(Codebook!$B$4:$B$62,MATCH($C298,Codebook!$A$4:$A$62,0)),"")</f>
        <v/>
      </c>
      <c r="E298" s="7" t="n"/>
      <c r="F298" s="7" t="n"/>
      <c r="G298" s="7" t="n"/>
    </row>
    <row r="299" ht="15" customHeight="1">
      <c r="A299" s="7" t="n"/>
      <c r="B299" s="12">
        <f>IFERROR(INDEX(Panel!$B$4:$B$11,MATCH($A299,Panel!$A$4:$A$11,0)),"")</f>
        <v/>
      </c>
      <c r="C299" s="7" t="n"/>
      <c r="D299" s="12">
        <f>IFERROR(INDEX(Codebook!$B$4:$B$62,MATCH($C299,Codebook!$A$4:$A$62,0)),"")</f>
        <v/>
      </c>
      <c r="E299" s="7" t="n"/>
      <c r="F299" s="7" t="n"/>
      <c r="G299" s="7" t="n"/>
    </row>
    <row r="300" ht="15" customHeight="1">
      <c r="A300" s="7" t="n"/>
      <c r="B300" s="12">
        <f>IFERROR(INDEX(Panel!$B$4:$B$11,MATCH($A300,Panel!$A$4:$A$11,0)),"")</f>
        <v/>
      </c>
      <c r="C300" s="7" t="n"/>
      <c r="D300" s="12">
        <f>IFERROR(INDEX(Codebook!$B$4:$B$62,MATCH($C300,Codebook!$A$4:$A$62,0)),"")</f>
        <v/>
      </c>
      <c r="E300" s="7" t="n"/>
      <c r="F300" s="7" t="n"/>
      <c r="G300" s="7" t="n"/>
    </row>
    <row r="301" ht="15" customHeight="1">
      <c r="A301" s="7" t="n"/>
      <c r="B301" s="12">
        <f>IFERROR(INDEX(Panel!$B$4:$B$11,MATCH($A301,Panel!$A$4:$A$11,0)),"")</f>
        <v/>
      </c>
      <c r="C301" s="7" t="n"/>
      <c r="D301" s="12">
        <f>IFERROR(INDEX(Codebook!$B$4:$B$62,MATCH($C301,Codebook!$A$4:$A$62,0)),"")</f>
        <v/>
      </c>
      <c r="E301" s="7" t="n"/>
      <c r="F301" s="7" t="n"/>
      <c r="G301" s="7" t="n"/>
    </row>
    <row r="302" ht="15" customHeight="1">
      <c r="A302" s="7" t="n"/>
      <c r="B302" s="12">
        <f>IFERROR(INDEX(Panel!$B$4:$B$11,MATCH($A302,Panel!$A$4:$A$11,0)),"")</f>
        <v/>
      </c>
      <c r="C302" s="7" t="n"/>
      <c r="D302" s="12">
        <f>IFERROR(INDEX(Codebook!$B$4:$B$62,MATCH($C302,Codebook!$A$4:$A$62,0)),"")</f>
        <v/>
      </c>
      <c r="E302" s="7" t="n"/>
      <c r="F302" s="7" t="n"/>
      <c r="G302" s="7" t="n"/>
    </row>
    <row r="303" ht="15" customHeight="1">
      <c r="A303" s="7" t="n"/>
      <c r="B303" s="12">
        <f>IFERROR(INDEX(Panel!$B$4:$B$11,MATCH($A303,Panel!$A$4:$A$11,0)),"")</f>
        <v/>
      </c>
      <c r="C303" s="7" t="n"/>
      <c r="D303" s="12">
        <f>IFERROR(INDEX(Codebook!$B$4:$B$62,MATCH($C303,Codebook!$A$4:$A$62,0)),"")</f>
        <v/>
      </c>
      <c r="E303" s="7" t="n"/>
      <c r="F303" s="7" t="n"/>
      <c r="G303" s="7" t="n"/>
    </row>
    <row r="304" ht="15" customHeight="1">
      <c r="A304" s="7" t="n"/>
      <c r="B304" s="12">
        <f>IFERROR(INDEX(Panel!$B$4:$B$11,MATCH($A304,Panel!$A$4:$A$11,0)),"")</f>
        <v/>
      </c>
      <c r="C304" s="7" t="n"/>
      <c r="D304" s="12">
        <f>IFERROR(INDEX(Codebook!$B$4:$B$62,MATCH($C304,Codebook!$A$4:$A$62,0)),"")</f>
        <v/>
      </c>
      <c r="E304" s="7" t="n"/>
      <c r="F304" s="7" t="n"/>
      <c r="G304" s="7" t="n"/>
    </row>
    <row r="305" ht="15" customHeight="1">
      <c r="A305" s="7" t="n"/>
      <c r="B305" s="12">
        <f>IFERROR(INDEX(Panel!$B$4:$B$11,MATCH($A305,Panel!$A$4:$A$11,0)),"")</f>
        <v/>
      </c>
      <c r="C305" s="7" t="n"/>
      <c r="D305" s="12">
        <f>IFERROR(INDEX(Codebook!$B$4:$B$62,MATCH($C305,Codebook!$A$4:$A$62,0)),"")</f>
        <v/>
      </c>
      <c r="E305" s="7" t="n"/>
      <c r="F305" s="7" t="n"/>
      <c r="G305" s="7" t="n"/>
    </row>
    <row r="306" ht="15" customHeight="1">
      <c r="A306" s="7" t="n"/>
      <c r="B306" s="12">
        <f>IFERROR(INDEX(Panel!$B$4:$B$11,MATCH($A306,Panel!$A$4:$A$11,0)),"")</f>
        <v/>
      </c>
      <c r="C306" s="7" t="n"/>
      <c r="D306" s="12">
        <f>IFERROR(INDEX(Codebook!$B$4:$B$62,MATCH($C306,Codebook!$A$4:$A$62,0)),"")</f>
        <v/>
      </c>
      <c r="E306" s="7" t="n"/>
      <c r="F306" s="7" t="n"/>
      <c r="G306" s="7" t="n"/>
    </row>
    <row r="307" ht="15" customHeight="1">
      <c r="A307" s="7" t="n"/>
      <c r="B307" s="12">
        <f>IFERROR(INDEX(Panel!$B$4:$B$11,MATCH($A307,Panel!$A$4:$A$11,0)),"")</f>
        <v/>
      </c>
      <c r="C307" s="7" t="n"/>
      <c r="D307" s="12">
        <f>IFERROR(INDEX(Codebook!$B$4:$B$62,MATCH($C307,Codebook!$A$4:$A$62,0)),"")</f>
        <v/>
      </c>
      <c r="E307" s="7" t="n"/>
      <c r="F307" s="7" t="n"/>
      <c r="G307" s="7" t="n"/>
    </row>
    <row r="308" ht="15" customHeight="1">
      <c r="A308" s="7" t="n"/>
      <c r="B308" s="12">
        <f>IFERROR(INDEX(Panel!$B$4:$B$11,MATCH($A308,Panel!$A$4:$A$11,0)),"")</f>
        <v/>
      </c>
      <c r="C308" s="7" t="n"/>
      <c r="D308" s="12">
        <f>IFERROR(INDEX(Codebook!$B$4:$B$62,MATCH($C308,Codebook!$A$4:$A$62,0)),"")</f>
        <v/>
      </c>
      <c r="E308" s="7" t="n"/>
      <c r="F308" s="7" t="n"/>
      <c r="G308" s="7" t="n"/>
    </row>
    <row r="309" ht="15" customHeight="1">
      <c r="A309" s="7" t="n"/>
      <c r="B309" s="12">
        <f>IFERROR(INDEX(Panel!$B$4:$B$11,MATCH($A309,Panel!$A$4:$A$11,0)),"")</f>
        <v/>
      </c>
      <c r="C309" s="7" t="n"/>
      <c r="D309" s="12">
        <f>IFERROR(INDEX(Codebook!$B$4:$B$62,MATCH($C309,Codebook!$A$4:$A$62,0)),"")</f>
        <v/>
      </c>
      <c r="E309" s="7" t="n"/>
      <c r="F309" s="7" t="n"/>
      <c r="G309" s="7" t="n"/>
    </row>
    <row r="310" ht="15" customHeight="1">
      <c r="A310" s="7" t="n"/>
      <c r="B310" s="12">
        <f>IFERROR(INDEX(Panel!$B$4:$B$11,MATCH($A310,Panel!$A$4:$A$11,0)),"")</f>
        <v/>
      </c>
      <c r="C310" s="7" t="n"/>
      <c r="D310" s="12">
        <f>IFERROR(INDEX(Codebook!$B$4:$B$62,MATCH($C310,Codebook!$A$4:$A$62,0)),"")</f>
        <v/>
      </c>
      <c r="E310" s="7" t="n"/>
      <c r="F310" s="7" t="n"/>
      <c r="G310" s="7" t="n"/>
    </row>
    <row r="311" ht="15" customHeight="1">
      <c r="A311" s="7" t="n"/>
      <c r="B311" s="12">
        <f>IFERROR(INDEX(Panel!$B$4:$B$11,MATCH($A311,Panel!$A$4:$A$11,0)),"")</f>
        <v/>
      </c>
      <c r="C311" s="7" t="n"/>
      <c r="D311" s="12">
        <f>IFERROR(INDEX(Codebook!$B$4:$B$62,MATCH($C311,Codebook!$A$4:$A$62,0)),"")</f>
        <v/>
      </c>
      <c r="E311" s="7" t="n"/>
      <c r="F311" s="7" t="n"/>
      <c r="G311" s="7" t="n"/>
    </row>
    <row r="312" ht="15" customHeight="1">
      <c r="A312" s="7" t="n"/>
      <c r="B312" s="12">
        <f>IFERROR(INDEX(Panel!$B$4:$B$11,MATCH($A312,Panel!$A$4:$A$11,0)),"")</f>
        <v/>
      </c>
      <c r="C312" s="7" t="n"/>
      <c r="D312" s="12">
        <f>IFERROR(INDEX(Codebook!$B$4:$B$62,MATCH($C312,Codebook!$A$4:$A$62,0)),"")</f>
        <v/>
      </c>
      <c r="E312" s="7" t="n"/>
      <c r="F312" s="7" t="n"/>
      <c r="G312" s="7" t="n"/>
    </row>
    <row r="313" ht="15" customHeight="1">
      <c r="A313" s="7" t="n"/>
      <c r="B313" s="12">
        <f>IFERROR(INDEX(Panel!$B$4:$B$11,MATCH($A313,Panel!$A$4:$A$11,0)),"")</f>
        <v/>
      </c>
      <c r="C313" s="7" t="n"/>
      <c r="D313" s="12">
        <f>IFERROR(INDEX(Codebook!$B$4:$B$62,MATCH($C313,Codebook!$A$4:$A$62,0)),"")</f>
        <v/>
      </c>
      <c r="E313" s="7" t="n"/>
      <c r="F313" s="7" t="n"/>
      <c r="G313" s="7" t="n"/>
    </row>
    <row r="314" ht="15" customHeight="1">
      <c r="A314" s="7" t="n"/>
      <c r="B314" s="12">
        <f>IFERROR(INDEX(Panel!$B$4:$B$11,MATCH($A314,Panel!$A$4:$A$11,0)),"")</f>
        <v/>
      </c>
      <c r="C314" s="7" t="n"/>
      <c r="D314" s="12">
        <f>IFERROR(INDEX(Codebook!$B$4:$B$62,MATCH($C314,Codebook!$A$4:$A$62,0)),"")</f>
        <v/>
      </c>
      <c r="E314" s="7" t="n"/>
      <c r="F314" s="7" t="n"/>
      <c r="G314" s="7" t="n"/>
    </row>
    <row r="315" ht="15" customHeight="1">
      <c r="A315" s="7" t="n"/>
      <c r="B315" s="12">
        <f>IFERROR(INDEX(Panel!$B$4:$B$11,MATCH($A315,Panel!$A$4:$A$11,0)),"")</f>
        <v/>
      </c>
      <c r="C315" s="7" t="n"/>
      <c r="D315" s="12">
        <f>IFERROR(INDEX(Codebook!$B$4:$B$62,MATCH($C315,Codebook!$A$4:$A$62,0)),"")</f>
        <v/>
      </c>
      <c r="E315" s="7" t="n"/>
      <c r="F315" s="7" t="n"/>
      <c r="G315" s="7" t="n"/>
    </row>
    <row r="316" ht="15" customHeight="1">
      <c r="A316" s="7" t="n"/>
      <c r="B316" s="12">
        <f>IFERROR(INDEX(Panel!$B$4:$B$11,MATCH($A316,Panel!$A$4:$A$11,0)),"")</f>
        <v/>
      </c>
      <c r="C316" s="7" t="n"/>
      <c r="D316" s="12">
        <f>IFERROR(INDEX(Codebook!$B$4:$B$62,MATCH($C316,Codebook!$A$4:$A$62,0)),"")</f>
        <v/>
      </c>
      <c r="E316" s="7" t="n"/>
      <c r="F316" s="7" t="n"/>
      <c r="G316" s="7" t="n"/>
    </row>
    <row r="317" ht="15" customHeight="1">
      <c r="A317" s="7" t="n"/>
      <c r="B317" s="12">
        <f>IFERROR(INDEX(Panel!$B$4:$B$11,MATCH($A317,Panel!$A$4:$A$11,0)),"")</f>
        <v/>
      </c>
      <c r="C317" s="7" t="n"/>
      <c r="D317" s="12">
        <f>IFERROR(INDEX(Codebook!$B$4:$B$62,MATCH($C317,Codebook!$A$4:$A$62,0)),"")</f>
        <v/>
      </c>
      <c r="E317" s="7" t="n"/>
      <c r="F317" s="7" t="n"/>
      <c r="G317" s="7" t="n"/>
    </row>
    <row r="318" ht="15" customHeight="1">
      <c r="A318" s="7" t="n"/>
      <c r="B318" s="12">
        <f>IFERROR(INDEX(Panel!$B$4:$B$11,MATCH($A318,Panel!$A$4:$A$11,0)),"")</f>
        <v/>
      </c>
      <c r="C318" s="7" t="n"/>
      <c r="D318" s="12">
        <f>IFERROR(INDEX(Codebook!$B$4:$B$62,MATCH($C318,Codebook!$A$4:$A$62,0)),"")</f>
        <v/>
      </c>
      <c r="E318" s="7" t="n"/>
      <c r="F318" s="7" t="n"/>
      <c r="G318" s="7" t="n"/>
    </row>
    <row r="319" ht="15" customHeight="1">
      <c r="A319" s="7" t="n"/>
      <c r="B319" s="12">
        <f>IFERROR(INDEX(Panel!$B$4:$B$11,MATCH($A319,Panel!$A$4:$A$11,0)),"")</f>
        <v/>
      </c>
      <c r="C319" s="7" t="n"/>
      <c r="D319" s="12">
        <f>IFERROR(INDEX(Codebook!$B$4:$B$62,MATCH($C319,Codebook!$A$4:$A$62,0)),"")</f>
        <v/>
      </c>
      <c r="E319" s="7" t="n"/>
      <c r="F319" s="7" t="n"/>
      <c r="G319" s="7" t="n"/>
    </row>
    <row r="320" ht="15" customHeight="1">
      <c r="A320" s="7" t="n"/>
      <c r="B320" s="12">
        <f>IFERROR(INDEX(Panel!$B$4:$B$11,MATCH($A320,Panel!$A$4:$A$11,0)),"")</f>
        <v/>
      </c>
      <c r="C320" s="7" t="n"/>
      <c r="D320" s="12">
        <f>IFERROR(INDEX(Codebook!$B$4:$B$62,MATCH($C320,Codebook!$A$4:$A$62,0)),"")</f>
        <v/>
      </c>
      <c r="E320" s="7" t="n"/>
      <c r="F320" s="7" t="n"/>
      <c r="G320" s="7" t="n"/>
    </row>
    <row r="321" ht="15" customHeight="1">
      <c r="A321" s="7" t="n"/>
      <c r="B321" s="12">
        <f>IFERROR(INDEX(Panel!$B$4:$B$11,MATCH($A321,Panel!$A$4:$A$11,0)),"")</f>
        <v/>
      </c>
      <c r="C321" s="7" t="n"/>
      <c r="D321" s="12">
        <f>IFERROR(INDEX(Codebook!$B$4:$B$62,MATCH($C321,Codebook!$A$4:$A$62,0)),"")</f>
        <v/>
      </c>
      <c r="E321" s="7" t="n"/>
      <c r="F321" s="7" t="n"/>
      <c r="G321" s="7" t="n"/>
    </row>
    <row r="322" ht="15" customHeight="1">
      <c r="A322" s="7" t="n"/>
      <c r="B322" s="12">
        <f>IFERROR(INDEX(Panel!$B$4:$B$11,MATCH($A322,Panel!$A$4:$A$11,0)),"")</f>
        <v/>
      </c>
      <c r="C322" s="7" t="n"/>
      <c r="D322" s="12">
        <f>IFERROR(INDEX(Codebook!$B$4:$B$62,MATCH($C322,Codebook!$A$4:$A$62,0)),"")</f>
        <v/>
      </c>
      <c r="E322" s="7" t="n"/>
      <c r="F322" s="7" t="n"/>
      <c r="G322" s="7" t="n"/>
    </row>
    <row r="323" ht="15" customHeight="1">
      <c r="A323" s="7" t="n"/>
      <c r="B323" s="12">
        <f>IFERROR(INDEX(Panel!$B$4:$B$11,MATCH($A323,Panel!$A$4:$A$11,0)),"")</f>
        <v/>
      </c>
      <c r="C323" s="7" t="n"/>
      <c r="D323" s="12">
        <f>IFERROR(INDEX(Codebook!$B$4:$B$62,MATCH($C323,Codebook!$A$4:$A$62,0)),"")</f>
        <v/>
      </c>
      <c r="E323" s="7" t="n"/>
      <c r="F323" s="7" t="n"/>
      <c r="G323" s="7" t="n"/>
    </row>
    <row r="324" ht="15" customHeight="1">
      <c r="A324" s="7" t="n"/>
      <c r="B324" s="12">
        <f>IFERROR(INDEX(Panel!$B$4:$B$11,MATCH($A324,Panel!$A$4:$A$11,0)),"")</f>
        <v/>
      </c>
      <c r="C324" s="7" t="n"/>
      <c r="D324" s="12">
        <f>IFERROR(INDEX(Codebook!$B$4:$B$62,MATCH($C324,Codebook!$A$4:$A$62,0)),"")</f>
        <v/>
      </c>
      <c r="E324" s="7" t="n"/>
      <c r="F324" s="7" t="n"/>
      <c r="G324" s="7" t="n"/>
    </row>
    <row r="325" ht="15" customHeight="1">
      <c r="A325" s="7" t="n"/>
      <c r="B325" s="12">
        <f>IFERROR(INDEX(Panel!$B$4:$B$11,MATCH($A325,Panel!$A$4:$A$11,0)),"")</f>
        <v/>
      </c>
      <c r="C325" s="7" t="n"/>
      <c r="D325" s="12">
        <f>IFERROR(INDEX(Codebook!$B$4:$B$62,MATCH($C325,Codebook!$A$4:$A$62,0)),"")</f>
        <v/>
      </c>
      <c r="E325" s="7" t="n"/>
      <c r="F325" s="7" t="n"/>
      <c r="G325" s="7" t="n"/>
    </row>
    <row r="326" ht="15" customHeight="1">
      <c r="A326" s="7" t="n"/>
      <c r="B326" s="12">
        <f>IFERROR(INDEX(Panel!$B$4:$B$11,MATCH($A326,Panel!$A$4:$A$11,0)),"")</f>
        <v/>
      </c>
      <c r="C326" s="7" t="n"/>
      <c r="D326" s="12">
        <f>IFERROR(INDEX(Codebook!$B$4:$B$62,MATCH($C326,Codebook!$A$4:$A$62,0)),"")</f>
        <v/>
      </c>
      <c r="E326" s="7" t="n"/>
      <c r="F326" s="7" t="n"/>
      <c r="G326" s="7" t="n"/>
    </row>
    <row r="327" ht="15" customHeight="1">
      <c r="A327" s="7" t="n"/>
      <c r="B327" s="12">
        <f>IFERROR(INDEX(Panel!$B$4:$B$11,MATCH($A327,Panel!$A$4:$A$11,0)),"")</f>
        <v/>
      </c>
      <c r="C327" s="7" t="n"/>
      <c r="D327" s="12">
        <f>IFERROR(INDEX(Codebook!$B$4:$B$62,MATCH($C327,Codebook!$A$4:$A$62,0)),"")</f>
        <v/>
      </c>
      <c r="E327" s="7" t="n"/>
      <c r="F327" s="7" t="n"/>
      <c r="G327" s="7" t="n"/>
    </row>
    <row r="328" ht="15" customHeight="1">
      <c r="A328" s="7" t="n"/>
      <c r="B328" s="12">
        <f>IFERROR(INDEX(Panel!$B$4:$B$11,MATCH($A328,Panel!$A$4:$A$11,0)),"")</f>
        <v/>
      </c>
      <c r="C328" s="7" t="n"/>
      <c r="D328" s="12">
        <f>IFERROR(INDEX(Codebook!$B$4:$B$62,MATCH($C328,Codebook!$A$4:$A$62,0)),"")</f>
        <v/>
      </c>
      <c r="E328" s="7" t="n"/>
      <c r="F328" s="7" t="n"/>
      <c r="G328" s="7" t="n"/>
    </row>
    <row r="329" ht="15" customHeight="1">
      <c r="A329" s="7" t="n"/>
      <c r="B329" s="12">
        <f>IFERROR(INDEX(Panel!$B$4:$B$11,MATCH($A329,Panel!$A$4:$A$11,0)),"")</f>
        <v/>
      </c>
      <c r="C329" s="7" t="n"/>
      <c r="D329" s="12">
        <f>IFERROR(INDEX(Codebook!$B$4:$B$62,MATCH($C329,Codebook!$A$4:$A$62,0)),"")</f>
        <v/>
      </c>
      <c r="E329" s="7" t="n"/>
      <c r="F329" s="7" t="n"/>
      <c r="G329" s="7" t="n"/>
    </row>
    <row r="330" ht="15" customHeight="1">
      <c r="A330" s="7" t="n"/>
      <c r="B330" s="12">
        <f>IFERROR(INDEX(Panel!$B$4:$B$11,MATCH($A330,Panel!$A$4:$A$11,0)),"")</f>
        <v/>
      </c>
      <c r="C330" s="7" t="n"/>
      <c r="D330" s="12">
        <f>IFERROR(INDEX(Codebook!$B$4:$B$62,MATCH($C330,Codebook!$A$4:$A$62,0)),"")</f>
        <v/>
      </c>
      <c r="E330" s="7" t="n"/>
      <c r="F330" s="7" t="n"/>
      <c r="G330" s="7" t="n"/>
    </row>
    <row r="331" ht="15" customHeight="1">
      <c r="A331" s="7" t="n"/>
      <c r="B331" s="12">
        <f>IFERROR(INDEX(Panel!$B$4:$B$11,MATCH($A331,Panel!$A$4:$A$11,0)),"")</f>
        <v/>
      </c>
      <c r="C331" s="7" t="n"/>
      <c r="D331" s="12">
        <f>IFERROR(INDEX(Codebook!$B$4:$B$62,MATCH($C331,Codebook!$A$4:$A$62,0)),"")</f>
        <v/>
      </c>
      <c r="E331" s="7" t="n"/>
      <c r="F331" s="7" t="n"/>
      <c r="G331" s="7" t="n"/>
    </row>
    <row r="332" ht="15" customHeight="1">
      <c r="A332" s="7" t="n"/>
      <c r="B332" s="12">
        <f>IFERROR(INDEX(Panel!$B$4:$B$11,MATCH($A332,Panel!$A$4:$A$11,0)),"")</f>
        <v/>
      </c>
      <c r="C332" s="7" t="n"/>
      <c r="D332" s="12">
        <f>IFERROR(INDEX(Codebook!$B$4:$B$62,MATCH($C332,Codebook!$A$4:$A$62,0)),"")</f>
        <v/>
      </c>
      <c r="E332" s="7" t="n"/>
      <c r="F332" s="7" t="n"/>
      <c r="G332" s="7" t="n"/>
    </row>
    <row r="333" ht="15" customHeight="1">
      <c r="A333" s="7" t="n"/>
      <c r="B333" s="12">
        <f>IFERROR(INDEX(Panel!$B$4:$B$11,MATCH($A333,Panel!$A$4:$A$11,0)),"")</f>
        <v/>
      </c>
      <c r="C333" s="7" t="n"/>
      <c r="D333" s="12">
        <f>IFERROR(INDEX(Codebook!$B$4:$B$62,MATCH($C333,Codebook!$A$4:$A$62,0)),"")</f>
        <v/>
      </c>
      <c r="E333" s="7" t="n"/>
      <c r="F333" s="7" t="n"/>
      <c r="G333" s="7" t="n"/>
    </row>
    <row r="334" ht="15" customHeight="1">
      <c r="A334" s="7" t="n"/>
      <c r="B334" s="12">
        <f>IFERROR(INDEX(Panel!$B$4:$B$11,MATCH($A334,Panel!$A$4:$A$11,0)),"")</f>
        <v/>
      </c>
      <c r="C334" s="7" t="n"/>
      <c r="D334" s="12">
        <f>IFERROR(INDEX(Codebook!$B$4:$B$62,MATCH($C334,Codebook!$A$4:$A$62,0)),"")</f>
        <v/>
      </c>
      <c r="E334" s="7" t="n"/>
      <c r="F334" s="7" t="n"/>
      <c r="G334" s="7" t="n"/>
    </row>
    <row r="335" ht="15" customHeight="1">
      <c r="A335" s="7" t="n"/>
      <c r="B335" s="12">
        <f>IFERROR(INDEX(Panel!$B$4:$B$11,MATCH($A335,Panel!$A$4:$A$11,0)),"")</f>
        <v/>
      </c>
      <c r="C335" s="7" t="n"/>
      <c r="D335" s="12">
        <f>IFERROR(INDEX(Codebook!$B$4:$B$62,MATCH($C335,Codebook!$A$4:$A$62,0)),"")</f>
        <v/>
      </c>
      <c r="E335" s="7" t="n"/>
      <c r="F335" s="7" t="n"/>
      <c r="G335" s="7" t="n"/>
    </row>
    <row r="336" ht="15" customHeight="1">
      <c r="A336" s="7" t="n"/>
      <c r="B336" s="12">
        <f>IFERROR(INDEX(Panel!$B$4:$B$11,MATCH($A336,Panel!$A$4:$A$11,0)),"")</f>
        <v/>
      </c>
      <c r="C336" s="7" t="n"/>
      <c r="D336" s="12">
        <f>IFERROR(INDEX(Codebook!$B$4:$B$62,MATCH($C336,Codebook!$A$4:$A$62,0)),"")</f>
        <v/>
      </c>
      <c r="E336" s="7" t="n"/>
      <c r="F336" s="7" t="n"/>
      <c r="G336" s="7" t="n"/>
    </row>
    <row r="337" ht="15" customHeight="1">
      <c r="A337" s="7" t="n"/>
      <c r="B337" s="12">
        <f>IFERROR(INDEX(Panel!$B$4:$B$11,MATCH($A337,Panel!$A$4:$A$11,0)),"")</f>
        <v/>
      </c>
      <c r="C337" s="7" t="n"/>
      <c r="D337" s="12">
        <f>IFERROR(INDEX(Codebook!$B$4:$B$62,MATCH($C337,Codebook!$A$4:$A$62,0)),"")</f>
        <v/>
      </c>
      <c r="E337" s="7" t="n"/>
      <c r="F337" s="7" t="n"/>
      <c r="G337" s="7" t="n"/>
    </row>
    <row r="338" ht="15" customHeight="1">
      <c r="A338" s="7" t="n"/>
      <c r="B338" s="12">
        <f>IFERROR(INDEX(Panel!$B$4:$B$11,MATCH($A338,Panel!$A$4:$A$11,0)),"")</f>
        <v/>
      </c>
      <c r="C338" s="7" t="n"/>
      <c r="D338" s="12">
        <f>IFERROR(INDEX(Codebook!$B$4:$B$62,MATCH($C338,Codebook!$A$4:$A$62,0)),"")</f>
        <v/>
      </c>
      <c r="E338" s="7" t="n"/>
      <c r="F338" s="7" t="n"/>
      <c r="G338" s="7" t="n"/>
    </row>
    <row r="339" ht="15" customHeight="1">
      <c r="A339" s="7" t="n"/>
      <c r="B339" s="12">
        <f>IFERROR(INDEX(Panel!$B$4:$B$11,MATCH($A339,Panel!$A$4:$A$11,0)),"")</f>
        <v/>
      </c>
      <c r="C339" s="7" t="n"/>
      <c r="D339" s="12">
        <f>IFERROR(INDEX(Codebook!$B$4:$B$62,MATCH($C339,Codebook!$A$4:$A$62,0)),"")</f>
        <v/>
      </c>
      <c r="E339" s="7" t="n"/>
      <c r="F339" s="7" t="n"/>
      <c r="G339" s="7" t="n"/>
    </row>
    <row r="340" ht="15" customHeight="1">
      <c r="A340" s="7" t="n"/>
      <c r="B340" s="12">
        <f>IFERROR(INDEX(Panel!$B$4:$B$11,MATCH($A340,Panel!$A$4:$A$11,0)),"")</f>
        <v/>
      </c>
      <c r="C340" s="7" t="n"/>
      <c r="D340" s="12">
        <f>IFERROR(INDEX(Codebook!$B$4:$B$62,MATCH($C340,Codebook!$A$4:$A$62,0)),"")</f>
        <v/>
      </c>
      <c r="E340" s="7" t="n"/>
      <c r="F340" s="7" t="n"/>
      <c r="G340" s="7" t="n"/>
    </row>
    <row r="341" ht="15" customHeight="1">
      <c r="A341" s="7" t="n"/>
      <c r="B341" s="12">
        <f>IFERROR(INDEX(Panel!$B$4:$B$11,MATCH($A341,Panel!$A$4:$A$11,0)),"")</f>
        <v/>
      </c>
      <c r="C341" s="7" t="n"/>
      <c r="D341" s="12">
        <f>IFERROR(INDEX(Codebook!$B$4:$B$62,MATCH($C341,Codebook!$A$4:$A$62,0)),"")</f>
        <v/>
      </c>
      <c r="E341" s="7" t="n"/>
      <c r="F341" s="7" t="n"/>
      <c r="G341" s="7" t="n"/>
    </row>
    <row r="342" ht="15" customHeight="1">
      <c r="A342" s="7" t="n"/>
      <c r="B342" s="12">
        <f>IFERROR(INDEX(Panel!$B$4:$B$11,MATCH($A342,Panel!$A$4:$A$11,0)),"")</f>
        <v/>
      </c>
      <c r="C342" s="7" t="n"/>
      <c r="D342" s="12">
        <f>IFERROR(INDEX(Codebook!$B$4:$B$62,MATCH($C342,Codebook!$A$4:$A$62,0)),"")</f>
        <v/>
      </c>
      <c r="E342" s="7" t="n"/>
      <c r="F342" s="7" t="n"/>
      <c r="G342" s="7" t="n"/>
    </row>
    <row r="343" ht="15" customHeight="1">
      <c r="A343" s="7" t="n"/>
      <c r="B343" s="12">
        <f>IFERROR(INDEX(Panel!$B$4:$B$11,MATCH($A343,Panel!$A$4:$A$11,0)),"")</f>
        <v/>
      </c>
      <c r="C343" s="7" t="n"/>
      <c r="D343" s="12">
        <f>IFERROR(INDEX(Codebook!$B$4:$B$62,MATCH($C343,Codebook!$A$4:$A$62,0)),"")</f>
        <v/>
      </c>
      <c r="E343" s="7" t="n"/>
      <c r="F343" s="7" t="n"/>
      <c r="G343" s="7" t="n"/>
    </row>
    <row r="344" ht="15" customHeight="1">
      <c r="A344" s="7" t="n"/>
      <c r="B344" s="12">
        <f>IFERROR(INDEX(Panel!$B$4:$B$11,MATCH($A344,Panel!$A$4:$A$11,0)),"")</f>
        <v/>
      </c>
      <c r="C344" s="7" t="n"/>
      <c r="D344" s="12">
        <f>IFERROR(INDEX(Codebook!$B$4:$B$62,MATCH($C344,Codebook!$A$4:$A$62,0)),"")</f>
        <v/>
      </c>
      <c r="E344" s="7" t="n"/>
      <c r="F344" s="7" t="n"/>
      <c r="G344" s="7" t="n"/>
    </row>
    <row r="345" ht="15" customHeight="1">
      <c r="A345" s="7" t="n"/>
      <c r="B345" s="12">
        <f>IFERROR(INDEX(Panel!$B$4:$B$11,MATCH($A345,Panel!$A$4:$A$11,0)),"")</f>
        <v/>
      </c>
      <c r="C345" s="7" t="n"/>
      <c r="D345" s="12">
        <f>IFERROR(INDEX(Codebook!$B$4:$B$62,MATCH($C345,Codebook!$A$4:$A$62,0)),"")</f>
        <v/>
      </c>
      <c r="E345" s="7" t="n"/>
      <c r="F345" s="7" t="n"/>
      <c r="G345" s="7" t="n"/>
    </row>
    <row r="346" ht="15" customHeight="1">
      <c r="A346" s="7" t="n"/>
      <c r="B346" s="12">
        <f>IFERROR(INDEX(Panel!$B$4:$B$11,MATCH($A346,Panel!$A$4:$A$11,0)),"")</f>
        <v/>
      </c>
      <c r="C346" s="7" t="n"/>
      <c r="D346" s="12">
        <f>IFERROR(INDEX(Codebook!$B$4:$B$62,MATCH($C346,Codebook!$A$4:$A$62,0)),"")</f>
        <v/>
      </c>
      <c r="E346" s="7" t="n"/>
      <c r="F346" s="7" t="n"/>
      <c r="G346" s="7" t="n"/>
    </row>
    <row r="347" ht="15" customHeight="1">
      <c r="A347" s="7" t="n"/>
      <c r="B347" s="12">
        <f>IFERROR(INDEX(Panel!$B$4:$B$11,MATCH($A347,Panel!$A$4:$A$11,0)),"")</f>
        <v/>
      </c>
      <c r="C347" s="7" t="n"/>
      <c r="D347" s="12">
        <f>IFERROR(INDEX(Codebook!$B$4:$B$62,MATCH($C347,Codebook!$A$4:$A$62,0)),"")</f>
        <v/>
      </c>
      <c r="E347" s="7" t="n"/>
      <c r="F347" s="7" t="n"/>
      <c r="G347" s="7" t="n"/>
    </row>
    <row r="348" ht="15" customHeight="1">
      <c r="A348" s="7" t="n"/>
      <c r="B348" s="12">
        <f>IFERROR(INDEX(Panel!$B$4:$B$11,MATCH($A348,Panel!$A$4:$A$11,0)),"")</f>
        <v/>
      </c>
      <c r="C348" s="7" t="n"/>
      <c r="D348" s="12">
        <f>IFERROR(INDEX(Codebook!$B$4:$B$62,MATCH($C348,Codebook!$A$4:$A$62,0)),"")</f>
        <v/>
      </c>
      <c r="E348" s="7" t="n"/>
      <c r="F348" s="7" t="n"/>
      <c r="G348" s="7" t="n"/>
    </row>
    <row r="349" ht="15" customHeight="1">
      <c r="A349" s="7" t="n"/>
      <c r="B349" s="12">
        <f>IFERROR(INDEX(Panel!$B$4:$B$11,MATCH($A349,Panel!$A$4:$A$11,0)),"")</f>
        <v/>
      </c>
      <c r="C349" s="7" t="n"/>
      <c r="D349" s="12">
        <f>IFERROR(INDEX(Codebook!$B$4:$B$62,MATCH($C349,Codebook!$A$4:$A$62,0)),"")</f>
        <v/>
      </c>
      <c r="E349" s="7" t="n"/>
      <c r="F349" s="7" t="n"/>
      <c r="G349" s="7" t="n"/>
    </row>
    <row r="350" ht="15" customHeight="1">
      <c r="A350" s="7" t="n"/>
      <c r="B350" s="12">
        <f>IFERROR(INDEX(Panel!$B$4:$B$11,MATCH($A350,Panel!$A$4:$A$11,0)),"")</f>
        <v/>
      </c>
      <c r="C350" s="7" t="n"/>
      <c r="D350" s="12">
        <f>IFERROR(INDEX(Codebook!$B$4:$B$62,MATCH($C350,Codebook!$A$4:$A$62,0)),"")</f>
        <v/>
      </c>
      <c r="E350" s="7" t="n"/>
      <c r="F350" s="7" t="n"/>
      <c r="G350" s="7" t="n"/>
    </row>
    <row r="351" ht="15" customHeight="1">
      <c r="A351" s="7" t="n"/>
      <c r="B351" s="12">
        <f>IFERROR(INDEX(Panel!$B$4:$B$11,MATCH($A351,Panel!$A$4:$A$11,0)),"")</f>
        <v/>
      </c>
      <c r="C351" s="7" t="n"/>
      <c r="D351" s="12">
        <f>IFERROR(INDEX(Codebook!$B$4:$B$62,MATCH($C351,Codebook!$A$4:$A$62,0)),"")</f>
        <v/>
      </c>
      <c r="E351" s="7" t="n"/>
      <c r="F351" s="7" t="n"/>
      <c r="G351" s="7" t="n"/>
    </row>
    <row r="352" ht="15" customHeight="1">
      <c r="A352" s="7" t="n"/>
      <c r="B352" s="12">
        <f>IFERROR(INDEX(Panel!$B$4:$B$11,MATCH($A352,Panel!$A$4:$A$11,0)),"")</f>
        <v/>
      </c>
      <c r="C352" s="7" t="n"/>
      <c r="D352" s="12">
        <f>IFERROR(INDEX(Codebook!$B$4:$B$62,MATCH($C352,Codebook!$A$4:$A$62,0)),"")</f>
        <v/>
      </c>
      <c r="E352" s="7" t="n"/>
      <c r="F352" s="7" t="n"/>
      <c r="G352" s="7" t="n"/>
    </row>
    <row r="353" ht="15" customHeight="1">
      <c r="A353" s="7" t="n"/>
      <c r="B353" s="12">
        <f>IFERROR(INDEX(Panel!$B$4:$B$11,MATCH($A353,Panel!$A$4:$A$11,0)),"")</f>
        <v/>
      </c>
      <c r="C353" s="7" t="n"/>
      <c r="D353" s="12">
        <f>IFERROR(INDEX(Codebook!$B$4:$B$62,MATCH($C353,Codebook!$A$4:$A$62,0)),"")</f>
        <v/>
      </c>
      <c r="E353" s="7" t="n"/>
      <c r="F353" s="7" t="n"/>
      <c r="G353" s="7" t="n"/>
    </row>
    <row r="354" ht="15" customHeight="1">
      <c r="A354" s="7" t="n"/>
      <c r="B354" s="12">
        <f>IFERROR(INDEX(Panel!$B$4:$B$11,MATCH($A354,Panel!$A$4:$A$11,0)),"")</f>
        <v/>
      </c>
      <c r="C354" s="7" t="n"/>
      <c r="D354" s="12">
        <f>IFERROR(INDEX(Codebook!$B$4:$B$62,MATCH($C354,Codebook!$A$4:$A$62,0)),"")</f>
        <v/>
      </c>
      <c r="E354" s="7" t="n"/>
      <c r="F354" s="7" t="n"/>
      <c r="G354" s="7" t="n"/>
    </row>
    <row r="355" ht="15" customHeight="1">
      <c r="A355" s="7" t="n"/>
      <c r="B355" s="12">
        <f>IFERROR(INDEX(Panel!$B$4:$B$11,MATCH($A355,Panel!$A$4:$A$11,0)),"")</f>
        <v/>
      </c>
      <c r="C355" s="7" t="n"/>
      <c r="D355" s="12">
        <f>IFERROR(INDEX(Codebook!$B$4:$B$62,MATCH($C355,Codebook!$A$4:$A$62,0)),"")</f>
        <v/>
      </c>
      <c r="E355" s="7" t="n"/>
      <c r="F355" s="7" t="n"/>
      <c r="G355" s="7" t="n"/>
    </row>
    <row r="356" ht="15" customHeight="1">
      <c r="A356" s="7" t="n"/>
      <c r="B356" s="12">
        <f>IFERROR(INDEX(Panel!$B$4:$B$11,MATCH($A356,Panel!$A$4:$A$11,0)),"")</f>
        <v/>
      </c>
      <c r="C356" s="7" t="n"/>
      <c r="D356" s="12">
        <f>IFERROR(INDEX(Codebook!$B$4:$B$62,MATCH($C356,Codebook!$A$4:$A$62,0)),"")</f>
        <v/>
      </c>
      <c r="E356" s="7" t="n"/>
      <c r="F356" s="7" t="n"/>
      <c r="G356" s="7" t="n"/>
    </row>
    <row r="357" ht="15" customHeight="1">
      <c r="A357" s="7" t="n"/>
      <c r="B357" s="12">
        <f>IFERROR(INDEX(Panel!$B$4:$B$11,MATCH($A357,Panel!$A$4:$A$11,0)),"")</f>
        <v/>
      </c>
      <c r="C357" s="7" t="n"/>
      <c r="D357" s="12">
        <f>IFERROR(INDEX(Codebook!$B$4:$B$62,MATCH($C357,Codebook!$A$4:$A$62,0)),"")</f>
        <v/>
      </c>
      <c r="E357" s="7" t="n"/>
      <c r="F357" s="7" t="n"/>
      <c r="G357" s="7" t="n"/>
    </row>
    <row r="358" ht="15" customHeight="1">
      <c r="A358" s="7" t="n"/>
      <c r="B358" s="12">
        <f>IFERROR(INDEX(Panel!$B$4:$B$11,MATCH($A358,Panel!$A$4:$A$11,0)),"")</f>
        <v/>
      </c>
      <c r="C358" s="7" t="n"/>
      <c r="D358" s="12">
        <f>IFERROR(INDEX(Codebook!$B$4:$B$62,MATCH($C358,Codebook!$A$4:$A$62,0)),"")</f>
        <v/>
      </c>
      <c r="E358" s="7" t="n"/>
      <c r="F358" s="7" t="n"/>
      <c r="G358" s="7" t="n"/>
    </row>
    <row r="359" ht="15" customHeight="1">
      <c r="A359" s="7" t="n"/>
      <c r="B359" s="12">
        <f>IFERROR(INDEX(Panel!$B$4:$B$11,MATCH($A359,Panel!$A$4:$A$11,0)),"")</f>
        <v/>
      </c>
      <c r="C359" s="7" t="n"/>
      <c r="D359" s="12">
        <f>IFERROR(INDEX(Codebook!$B$4:$B$62,MATCH($C359,Codebook!$A$4:$A$62,0)),"")</f>
        <v/>
      </c>
      <c r="E359" s="7" t="n"/>
      <c r="F359" s="7" t="n"/>
      <c r="G359" s="7" t="n"/>
    </row>
    <row r="360" ht="15" customHeight="1">
      <c r="A360" s="7" t="n"/>
      <c r="B360" s="12">
        <f>IFERROR(INDEX(Panel!$B$4:$B$11,MATCH($A360,Panel!$A$4:$A$11,0)),"")</f>
        <v/>
      </c>
      <c r="C360" s="7" t="n"/>
      <c r="D360" s="12">
        <f>IFERROR(INDEX(Codebook!$B$4:$B$62,MATCH($C360,Codebook!$A$4:$A$62,0)),"")</f>
        <v/>
      </c>
      <c r="E360" s="7" t="n"/>
      <c r="F360" s="7" t="n"/>
      <c r="G360" s="7" t="n"/>
    </row>
    <row r="361" ht="15" customHeight="1">
      <c r="A361" s="7" t="n"/>
      <c r="B361" s="12">
        <f>IFERROR(INDEX(Panel!$B$4:$B$11,MATCH($A361,Panel!$A$4:$A$11,0)),"")</f>
        <v/>
      </c>
      <c r="C361" s="7" t="n"/>
      <c r="D361" s="12">
        <f>IFERROR(INDEX(Codebook!$B$4:$B$62,MATCH($C361,Codebook!$A$4:$A$62,0)),"")</f>
        <v/>
      </c>
      <c r="E361" s="7" t="n"/>
      <c r="F361" s="7" t="n"/>
      <c r="G361" s="7" t="n"/>
    </row>
    <row r="362" ht="15" customHeight="1">
      <c r="A362" s="7" t="n"/>
      <c r="B362" s="12">
        <f>IFERROR(INDEX(Panel!$B$4:$B$11,MATCH($A362,Panel!$A$4:$A$11,0)),"")</f>
        <v/>
      </c>
      <c r="C362" s="7" t="n"/>
      <c r="D362" s="12">
        <f>IFERROR(INDEX(Codebook!$B$4:$B$62,MATCH($C362,Codebook!$A$4:$A$62,0)),"")</f>
        <v/>
      </c>
      <c r="E362" s="7" t="n"/>
      <c r="F362" s="7" t="n"/>
      <c r="G362" s="7" t="n"/>
    </row>
    <row r="363" ht="15" customHeight="1">
      <c r="A363" s="7" t="n"/>
      <c r="B363" s="12">
        <f>IFERROR(INDEX(Panel!$B$4:$B$11,MATCH($A363,Panel!$A$4:$A$11,0)),"")</f>
        <v/>
      </c>
      <c r="C363" s="7" t="n"/>
      <c r="D363" s="12">
        <f>IFERROR(INDEX(Codebook!$B$4:$B$62,MATCH($C363,Codebook!$A$4:$A$62,0)),"")</f>
        <v/>
      </c>
      <c r="E363" s="7" t="n"/>
      <c r="F363" s="7" t="n"/>
      <c r="G363" s="7" t="n"/>
    </row>
    <row r="364" ht="15" customHeight="1">
      <c r="A364" s="7" t="n"/>
      <c r="B364" s="12">
        <f>IFERROR(INDEX(Panel!$B$4:$B$11,MATCH($A364,Panel!$A$4:$A$11,0)),"")</f>
        <v/>
      </c>
      <c r="C364" s="7" t="n"/>
      <c r="D364" s="12">
        <f>IFERROR(INDEX(Codebook!$B$4:$B$62,MATCH($C364,Codebook!$A$4:$A$62,0)),"")</f>
        <v/>
      </c>
      <c r="E364" s="7" t="n"/>
      <c r="F364" s="7" t="n"/>
      <c r="G364" s="7" t="n"/>
    </row>
    <row r="365" ht="15" customHeight="1">
      <c r="A365" s="7" t="n"/>
      <c r="B365" s="12">
        <f>IFERROR(INDEX(Panel!$B$4:$B$11,MATCH($A365,Panel!$A$4:$A$11,0)),"")</f>
        <v/>
      </c>
      <c r="C365" s="7" t="n"/>
      <c r="D365" s="12">
        <f>IFERROR(INDEX(Codebook!$B$4:$B$62,MATCH($C365,Codebook!$A$4:$A$62,0)),"")</f>
        <v/>
      </c>
      <c r="E365" s="7" t="n"/>
      <c r="F365" s="7" t="n"/>
      <c r="G365" s="7" t="n"/>
    </row>
    <row r="366" ht="15" customHeight="1">
      <c r="A366" s="7" t="n"/>
      <c r="B366" s="12">
        <f>IFERROR(INDEX(Panel!$B$4:$B$11,MATCH($A366,Panel!$A$4:$A$11,0)),"")</f>
        <v/>
      </c>
      <c r="C366" s="7" t="n"/>
      <c r="D366" s="12">
        <f>IFERROR(INDEX(Codebook!$B$4:$B$62,MATCH($C366,Codebook!$A$4:$A$62,0)),"")</f>
        <v/>
      </c>
      <c r="E366" s="7" t="n"/>
      <c r="F366" s="7" t="n"/>
      <c r="G366" s="7" t="n"/>
    </row>
    <row r="367" ht="15" customHeight="1">
      <c r="A367" s="7" t="n"/>
      <c r="B367" s="12">
        <f>IFERROR(INDEX(Panel!$B$4:$B$11,MATCH($A367,Panel!$A$4:$A$11,0)),"")</f>
        <v/>
      </c>
      <c r="C367" s="7" t="n"/>
      <c r="D367" s="12">
        <f>IFERROR(INDEX(Codebook!$B$4:$B$62,MATCH($C367,Codebook!$A$4:$A$62,0)),"")</f>
        <v/>
      </c>
      <c r="E367" s="7" t="n"/>
      <c r="F367" s="7" t="n"/>
      <c r="G367" s="7" t="n"/>
    </row>
    <row r="368" ht="15" customHeight="1">
      <c r="A368" s="7" t="n"/>
      <c r="B368" s="12">
        <f>IFERROR(INDEX(Panel!$B$4:$B$11,MATCH($A368,Panel!$A$4:$A$11,0)),"")</f>
        <v/>
      </c>
      <c r="C368" s="7" t="n"/>
      <c r="D368" s="12">
        <f>IFERROR(INDEX(Codebook!$B$4:$B$62,MATCH($C368,Codebook!$A$4:$A$62,0)),"")</f>
        <v/>
      </c>
      <c r="E368" s="7" t="n"/>
      <c r="F368" s="7" t="n"/>
      <c r="G368" s="7" t="n"/>
    </row>
    <row r="369" ht="15" customHeight="1">
      <c r="A369" s="7" t="n"/>
      <c r="B369" s="12">
        <f>IFERROR(INDEX(Panel!$B$4:$B$11,MATCH($A369,Panel!$A$4:$A$11,0)),"")</f>
        <v/>
      </c>
      <c r="C369" s="7" t="n"/>
      <c r="D369" s="12">
        <f>IFERROR(INDEX(Codebook!$B$4:$B$62,MATCH($C369,Codebook!$A$4:$A$62,0)),"")</f>
        <v/>
      </c>
      <c r="E369" s="7" t="n"/>
      <c r="F369" s="7" t="n"/>
      <c r="G369" s="7" t="n"/>
    </row>
    <row r="370" ht="15" customHeight="1">
      <c r="A370" s="7" t="n"/>
      <c r="B370" s="12">
        <f>IFERROR(INDEX(Panel!$B$4:$B$11,MATCH($A370,Panel!$A$4:$A$11,0)),"")</f>
        <v/>
      </c>
      <c r="C370" s="7" t="n"/>
      <c r="D370" s="12">
        <f>IFERROR(INDEX(Codebook!$B$4:$B$62,MATCH($C370,Codebook!$A$4:$A$62,0)),"")</f>
        <v/>
      </c>
      <c r="E370" s="7" t="n"/>
      <c r="F370" s="7" t="n"/>
      <c r="G370" s="7" t="n"/>
    </row>
    <row r="371" ht="15" customHeight="1">
      <c r="A371" s="7" t="n"/>
      <c r="B371" s="12">
        <f>IFERROR(INDEX(Panel!$B$4:$B$11,MATCH($A371,Panel!$A$4:$A$11,0)),"")</f>
        <v/>
      </c>
      <c r="C371" s="7" t="n"/>
      <c r="D371" s="12">
        <f>IFERROR(INDEX(Codebook!$B$4:$B$62,MATCH($C371,Codebook!$A$4:$A$62,0)),"")</f>
        <v/>
      </c>
      <c r="E371" s="7" t="n"/>
      <c r="F371" s="7" t="n"/>
      <c r="G371" s="7" t="n"/>
    </row>
    <row r="372" ht="15" customHeight="1">
      <c r="A372" s="7" t="n"/>
      <c r="B372" s="12">
        <f>IFERROR(INDEX(Panel!$B$4:$B$11,MATCH($A372,Panel!$A$4:$A$11,0)),"")</f>
        <v/>
      </c>
      <c r="C372" s="7" t="n"/>
      <c r="D372" s="12">
        <f>IFERROR(INDEX(Codebook!$B$4:$B$62,MATCH($C372,Codebook!$A$4:$A$62,0)),"")</f>
        <v/>
      </c>
      <c r="E372" s="7" t="n"/>
      <c r="F372" s="7" t="n"/>
      <c r="G372" s="7" t="n"/>
    </row>
    <row r="373" ht="15" customHeight="1">
      <c r="A373" s="7" t="n"/>
      <c r="B373" s="12">
        <f>IFERROR(INDEX(Panel!$B$4:$B$11,MATCH($A373,Panel!$A$4:$A$11,0)),"")</f>
        <v/>
      </c>
      <c r="C373" s="7" t="n"/>
      <c r="D373" s="12">
        <f>IFERROR(INDEX(Codebook!$B$4:$B$62,MATCH($C373,Codebook!$A$4:$A$62,0)),"")</f>
        <v/>
      </c>
      <c r="E373" s="7" t="n"/>
      <c r="F373" s="7" t="n"/>
      <c r="G373" s="7" t="n"/>
    </row>
    <row r="374" ht="15" customHeight="1">
      <c r="A374" s="7" t="n"/>
      <c r="B374" s="12">
        <f>IFERROR(INDEX(Panel!$B$4:$B$11,MATCH($A374,Panel!$A$4:$A$11,0)),"")</f>
        <v/>
      </c>
      <c r="C374" s="7" t="n"/>
      <c r="D374" s="12">
        <f>IFERROR(INDEX(Codebook!$B$4:$B$62,MATCH($C374,Codebook!$A$4:$A$62,0)),"")</f>
        <v/>
      </c>
      <c r="E374" s="7" t="n"/>
      <c r="F374" s="7" t="n"/>
      <c r="G374" s="7" t="n"/>
    </row>
    <row r="375" ht="15" customHeight="1">
      <c r="A375" s="7" t="n"/>
      <c r="B375" s="12">
        <f>IFERROR(INDEX(Panel!$B$4:$B$11,MATCH($A375,Panel!$A$4:$A$11,0)),"")</f>
        <v/>
      </c>
      <c r="C375" s="7" t="n"/>
      <c r="D375" s="12">
        <f>IFERROR(INDEX(Codebook!$B$4:$B$62,MATCH($C375,Codebook!$A$4:$A$62,0)),"")</f>
        <v/>
      </c>
      <c r="E375" s="7" t="n"/>
      <c r="F375" s="7" t="n"/>
      <c r="G375" s="7" t="n"/>
    </row>
    <row r="376" ht="15" customHeight="1">
      <c r="A376" s="7" t="n"/>
      <c r="B376" s="12">
        <f>IFERROR(INDEX(Panel!$B$4:$B$11,MATCH($A376,Panel!$A$4:$A$11,0)),"")</f>
        <v/>
      </c>
      <c r="C376" s="7" t="n"/>
      <c r="D376" s="12">
        <f>IFERROR(INDEX(Codebook!$B$4:$B$62,MATCH($C376,Codebook!$A$4:$A$62,0)),"")</f>
        <v/>
      </c>
      <c r="E376" s="7" t="n"/>
      <c r="F376" s="7" t="n"/>
      <c r="G376" s="7" t="n"/>
    </row>
    <row r="377" ht="15" customHeight="1">
      <c r="A377" s="7" t="n"/>
      <c r="B377" s="12">
        <f>IFERROR(INDEX(Panel!$B$4:$B$11,MATCH($A377,Panel!$A$4:$A$11,0)),"")</f>
        <v/>
      </c>
      <c r="C377" s="7" t="n"/>
      <c r="D377" s="12">
        <f>IFERROR(INDEX(Codebook!$B$4:$B$62,MATCH($C377,Codebook!$A$4:$A$62,0)),"")</f>
        <v/>
      </c>
      <c r="E377" s="7" t="n"/>
      <c r="F377" s="7" t="n"/>
      <c r="G377" s="7" t="n"/>
    </row>
    <row r="378" ht="15" customHeight="1">
      <c r="A378" s="7" t="n"/>
      <c r="B378" s="12">
        <f>IFERROR(INDEX(Panel!$B$4:$B$11,MATCH($A378,Panel!$A$4:$A$11,0)),"")</f>
        <v/>
      </c>
      <c r="C378" s="7" t="n"/>
      <c r="D378" s="12">
        <f>IFERROR(INDEX(Codebook!$B$4:$B$62,MATCH($C378,Codebook!$A$4:$A$62,0)),"")</f>
        <v/>
      </c>
      <c r="E378" s="7" t="n"/>
      <c r="F378" s="7" t="n"/>
      <c r="G378" s="7" t="n"/>
    </row>
    <row r="379" ht="15" customHeight="1">
      <c r="A379" s="7" t="n"/>
      <c r="B379" s="12">
        <f>IFERROR(INDEX(Panel!$B$4:$B$11,MATCH($A379,Panel!$A$4:$A$11,0)),"")</f>
        <v/>
      </c>
      <c r="C379" s="7" t="n"/>
      <c r="D379" s="12">
        <f>IFERROR(INDEX(Codebook!$B$4:$B$62,MATCH($C379,Codebook!$A$4:$A$62,0)),"")</f>
        <v/>
      </c>
      <c r="E379" s="7" t="n"/>
      <c r="F379" s="7" t="n"/>
      <c r="G379" s="7" t="n"/>
    </row>
    <row r="380" ht="15" customHeight="1">
      <c r="A380" s="7" t="n"/>
      <c r="B380" s="12">
        <f>IFERROR(INDEX(Panel!$B$4:$B$11,MATCH($A380,Panel!$A$4:$A$11,0)),"")</f>
        <v/>
      </c>
      <c r="C380" s="7" t="n"/>
      <c r="D380" s="12">
        <f>IFERROR(INDEX(Codebook!$B$4:$B$62,MATCH($C380,Codebook!$A$4:$A$62,0)),"")</f>
        <v/>
      </c>
      <c r="E380" s="7" t="n"/>
      <c r="F380" s="7" t="n"/>
      <c r="G380" s="7" t="n"/>
    </row>
    <row r="381" ht="15" customHeight="1">
      <c r="A381" s="7" t="n"/>
      <c r="B381" s="12">
        <f>IFERROR(INDEX(Panel!$B$4:$B$11,MATCH($A381,Panel!$A$4:$A$11,0)),"")</f>
        <v/>
      </c>
      <c r="C381" s="7" t="n"/>
      <c r="D381" s="12">
        <f>IFERROR(INDEX(Codebook!$B$4:$B$62,MATCH($C381,Codebook!$A$4:$A$62,0)),"")</f>
        <v/>
      </c>
      <c r="E381" s="7" t="n"/>
      <c r="F381" s="7" t="n"/>
      <c r="G381" s="7" t="n"/>
    </row>
    <row r="382" ht="15" customHeight="1">
      <c r="A382" s="7" t="n"/>
      <c r="B382" s="12">
        <f>IFERROR(INDEX(Panel!$B$4:$B$11,MATCH($A382,Panel!$A$4:$A$11,0)),"")</f>
        <v/>
      </c>
      <c r="C382" s="7" t="n"/>
      <c r="D382" s="12">
        <f>IFERROR(INDEX(Codebook!$B$4:$B$62,MATCH($C382,Codebook!$A$4:$A$62,0)),"")</f>
        <v/>
      </c>
      <c r="E382" s="7" t="n"/>
      <c r="F382" s="7" t="n"/>
      <c r="G382" s="7" t="n"/>
    </row>
    <row r="383" ht="15" customHeight="1">
      <c r="A383" s="7" t="n"/>
      <c r="B383" s="12">
        <f>IFERROR(INDEX(Panel!$B$4:$B$11,MATCH($A383,Panel!$A$4:$A$11,0)),"")</f>
        <v/>
      </c>
      <c r="C383" s="7" t="n"/>
      <c r="D383" s="12">
        <f>IFERROR(INDEX(Codebook!$B$4:$B$62,MATCH($C383,Codebook!$A$4:$A$62,0)),"")</f>
        <v/>
      </c>
      <c r="E383" s="7" t="n"/>
      <c r="F383" s="7" t="n"/>
      <c r="G383" s="7" t="n"/>
    </row>
    <row r="384" ht="15" customHeight="1">
      <c r="A384" s="7" t="n"/>
      <c r="B384" s="12">
        <f>IFERROR(INDEX(Panel!$B$4:$B$11,MATCH($A384,Panel!$A$4:$A$11,0)),"")</f>
        <v/>
      </c>
      <c r="C384" s="7" t="n"/>
      <c r="D384" s="12">
        <f>IFERROR(INDEX(Codebook!$B$4:$B$62,MATCH($C384,Codebook!$A$4:$A$62,0)),"")</f>
        <v/>
      </c>
      <c r="E384" s="7" t="n"/>
      <c r="F384" s="7" t="n"/>
      <c r="G384" s="7" t="n"/>
    </row>
    <row r="385" ht="15" customHeight="1">
      <c r="A385" s="7" t="n"/>
      <c r="B385" s="12">
        <f>IFERROR(INDEX(Panel!$B$4:$B$11,MATCH($A385,Panel!$A$4:$A$11,0)),"")</f>
        <v/>
      </c>
      <c r="C385" s="7" t="n"/>
      <c r="D385" s="12">
        <f>IFERROR(INDEX(Codebook!$B$4:$B$62,MATCH($C385,Codebook!$A$4:$A$62,0)),"")</f>
        <v/>
      </c>
      <c r="E385" s="7" t="n"/>
      <c r="F385" s="7" t="n"/>
      <c r="G385" s="7" t="n"/>
    </row>
    <row r="386" ht="15" customHeight="1">
      <c r="A386" s="7" t="n"/>
      <c r="B386" s="12">
        <f>IFERROR(INDEX(Panel!$B$4:$B$11,MATCH($A386,Panel!$A$4:$A$11,0)),"")</f>
        <v/>
      </c>
      <c r="C386" s="7" t="n"/>
      <c r="D386" s="12">
        <f>IFERROR(INDEX(Codebook!$B$4:$B$62,MATCH($C386,Codebook!$A$4:$A$62,0)),"")</f>
        <v/>
      </c>
      <c r="E386" s="7" t="n"/>
      <c r="F386" s="7" t="n"/>
      <c r="G386" s="7" t="n"/>
    </row>
    <row r="387" ht="15" customHeight="1">
      <c r="A387" s="7" t="n"/>
      <c r="B387" s="12">
        <f>IFERROR(INDEX(Panel!$B$4:$B$11,MATCH($A387,Panel!$A$4:$A$11,0)),"")</f>
        <v/>
      </c>
      <c r="C387" s="7" t="n"/>
      <c r="D387" s="12">
        <f>IFERROR(INDEX(Codebook!$B$4:$B$62,MATCH($C387,Codebook!$A$4:$A$62,0)),"")</f>
        <v/>
      </c>
      <c r="E387" s="7" t="n"/>
      <c r="F387" s="7" t="n"/>
      <c r="G387" s="7" t="n"/>
    </row>
    <row r="388" ht="15" customHeight="1">
      <c r="A388" s="7" t="n"/>
      <c r="B388" s="12">
        <f>IFERROR(INDEX(Panel!$B$4:$B$11,MATCH($A388,Panel!$A$4:$A$11,0)),"")</f>
        <v/>
      </c>
      <c r="C388" s="7" t="n"/>
      <c r="D388" s="12">
        <f>IFERROR(INDEX(Codebook!$B$4:$B$62,MATCH($C388,Codebook!$A$4:$A$62,0)),"")</f>
        <v/>
      </c>
      <c r="E388" s="7" t="n"/>
      <c r="F388" s="7" t="n"/>
      <c r="G388" s="7" t="n"/>
    </row>
    <row r="389" ht="15" customHeight="1">
      <c r="A389" s="7" t="n"/>
      <c r="B389" s="12">
        <f>IFERROR(INDEX(Panel!$B$4:$B$11,MATCH($A389,Panel!$A$4:$A$11,0)),"")</f>
        <v/>
      </c>
      <c r="C389" s="7" t="n"/>
      <c r="D389" s="12">
        <f>IFERROR(INDEX(Codebook!$B$4:$B$62,MATCH($C389,Codebook!$A$4:$A$62,0)),"")</f>
        <v/>
      </c>
      <c r="E389" s="7" t="n"/>
      <c r="F389" s="7" t="n"/>
      <c r="G389" s="7" t="n"/>
    </row>
    <row r="390" ht="15" customHeight="1">
      <c r="A390" s="7" t="n"/>
      <c r="B390" s="12">
        <f>IFERROR(INDEX(Panel!$B$4:$B$11,MATCH($A390,Panel!$A$4:$A$11,0)),"")</f>
        <v/>
      </c>
      <c r="C390" s="7" t="n"/>
      <c r="D390" s="12">
        <f>IFERROR(INDEX(Codebook!$B$4:$B$62,MATCH($C390,Codebook!$A$4:$A$62,0)),"")</f>
        <v/>
      </c>
      <c r="E390" s="7" t="n"/>
      <c r="F390" s="7" t="n"/>
      <c r="G390" s="7" t="n"/>
    </row>
    <row r="391" ht="15" customHeight="1">
      <c r="A391" s="7" t="n"/>
      <c r="B391" s="12">
        <f>IFERROR(INDEX(Panel!$B$4:$B$11,MATCH($A391,Panel!$A$4:$A$11,0)),"")</f>
        <v/>
      </c>
      <c r="C391" s="7" t="n"/>
      <c r="D391" s="12">
        <f>IFERROR(INDEX(Codebook!$B$4:$B$62,MATCH($C391,Codebook!$A$4:$A$62,0)),"")</f>
        <v/>
      </c>
      <c r="E391" s="7" t="n"/>
      <c r="F391" s="7" t="n"/>
      <c r="G391" s="7" t="n"/>
    </row>
    <row r="392" ht="15" customHeight="1">
      <c r="A392" s="7" t="n"/>
      <c r="B392" s="12">
        <f>IFERROR(INDEX(Panel!$B$4:$B$11,MATCH($A392,Panel!$A$4:$A$11,0)),"")</f>
        <v/>
      </c>
      <c r="C392" s="7" t="n"/>
      <c r="D392" s="12">
        <f>IFERROR(INDEX(Codebook!$B$4:$B$62,MATCH($C392,Codebook!$A$4:$A$62,0)),"")</f>
        <v/>
      </c>
      <c r="E392" s="7" t="n"/>
      <c r="F392" s="7" t="n"/>
      <c r="G392" s="7" t="n"/>
    </row>
    <row r="393" ht="15" customHeight="1">
      <c r="A393" s="7" t="n"/>
      <c r="B393" s="12">
        <f>IFERROR(INDEX(Panel!$B$4:$B$11,MATCH($A393,Panel!$A$4:$A$11,0)),"")</f>
        <v/>
      </c>
      <c r="C393" s="7" t="n"/>
      <c r="D393" s="12">
        <f>IFERROR(INDEX(Codebook!$B$4:$B$62,MATCH($C393,Codebook!$A$4:$A$62,0)),"")</f>
        <v/>
      </c>
      <c r="E393" s="7" t="n"/>
      <c r="F393" s="7" t="n"/>
      <c r="G393" s="7" t="n"/>
    </row>
    <row r="394" ht="15" customHeight="1">
      <c r="A394" s="7" t="n"/>
      <c r="B394" s="12">
        <f>IFERROR(INDEX(Panel!$B$4:$B$11,MATCH($A394,Panel!$A$4:$A$11,0)),"")</f>
        <v/>
      </c>
      <c r="C394" s="7" t="n"/>
      <c r="D394" s="12">
        <f>IFERROR(INDEX(Codebook!$B$4:$B$62,MATCH($C394,Codebook!$A$4:$A$62,0)),"")</f>
        <v/>
      </c>
      <c r="E394" s="7" t="n"/>
      <c r="F394" s="7" t="n"/>
      <c r="G394" s="7" t="n"/>
    </row>
    <row r="395" ht="15" customHeight="1">
      <c r="A395" s="7" t="n"/>
      <c r="B395" s="12">
        <f>IFERROR(INDEX(Panel!$B$4:$B$11,MATCH($A395,Panel!$A$4:$A$11,0)),"")</f>
        <v/>
      </c>
      <c r="C395" s="7" t="n"/>
      <c r="D395" s="12">
        <f>IFERROR(INDEX(Codebook!$B$4:$B$62,MATCH($C395,Codebook!$A$4:$A$62,0)),"")</f>
        <v/>
      </c>
      <c r="E395" s="7" t="n"/>
      <c r="F395" s="7" t="n"/>
      <c r="G395" s="7" t="n"/>
    </row>
    <row r="396" ht="15" customHeight="1">
      <c r="A396" s="7" t="n"/>
      <c r="B396" s="12">
        <f>IFERROR(INDEX(Panel!$B$4:$B$11,MATCH($A396,Panel!$A$4:$A$11,0)),"")</f>
        <v/>
      </c>
      <c r="C396" s="7" t="n"/>
      <c r="D396" s="12">
        <f>IFERROR(INDEX(Codebook!$B$4:$B$62,MATCH($C396,Codebook!$A$4:$A$62,0)),"")</f>
        <v/>
      </c>
      <c r="E396" s="7" t="n"/>
      <c r="F396" s="7" t="n"/>
      <c r="G396" s="7" t="n"/>
    </row>
    <row r="397" ht="15" customHeight="1">
      <c r="A397" s="7" t="n"/>
      <c r="B397" s="12">
        <f>IFERROR(INDEX(Panel!$B$4:$B$11,MATCH($A397,Panel!$A$4:$A$11,0)),"")</f>
        <v/>
      </c>
      <c r="C397" s="7" t="n"/>
      <c r="D397" s="12">
        <f>IFERROR(INDEX(Codebook!$B$4:$B$62,MATCH($C397,Codebook!$A$4:$A$62,0)),"")</f>
        <v/>
      </c>
      <c r="E397" s="7" t="n"/>
      <c r="F397" s="7" t="n"/>
      <c r="G397" s="7" t="n"/>
    </row>
    <row r="398" ht="15" customHeight="1">
      <c r="A398" s="7" t="n"/>
      <c r="B398" s="12">
        <f>IFERROR(INDEX(Panel!$B$4:$B$11,MATCH($A398,Panel!$A$4:$A$11,0)),"")</f>
        <v/>
      </c>
      <c r="C398" s="7" t="n"/>
      <c r="D398" s="12">
        <f>IFERROR(INDEX(Codebook!$B$4:$B$62,MATCH($C398,Codebook!$A$4:$A$62,0)),"")</f>
        <v/>
      </c>
      <c r="E398" s="7" t="n"/>
      <c r="F398" s="7" t="n"/>
      <c r="G398" s="7" t="n"/>
    </row>
    <row r="399" ht="15" customHeight="1">
      <c r="A399" s="7" t="n"/>
      <c r="B399" s="12">
        <f>IFERROR(INDEX(Panel!$B$4:$B$11,MATCH($A399,Panel!$A$4:$A$11,0)),"")</f>
        <v/>
      </c>
      <c r="C399" s="7" t="n"/>
      <c r="D399" s="12">
        <f>IFERROR(INDEX(Codebook!$B$4:$B$62,MATCH($C399,Codebook!$A$4:$A$62,0)),"")</f>
        <v/>
      </c>
      <c r="E399" s="7" t="n"/>
      <c r="F399" s="7" t="n"/>
      <c r="G399" s="7" t="n"/>
    </row>
    <row r="400" ht="15" customHeight="1">
      <c r="A400" s="7" t="n"/>
      <c r="B400" s="12">
        <f>IFERROR(INDEX(Panel!$B$4:$B$11,MATCH($A400,Panel!$A$4:$A$11,0)),"")</f>
        <v/>
      </c>
      <c r="C400" s="7" t="n"/>
      <c r="D400" s="12">
        <f>IFERROR(INDEX(Codebook!$B$4:$B$62,MATCH($C400,Codebook!$A$4:$A$62,0)),"")</f>
        <v/>
      </c>
      <c r="E400" s="7" t="n"/>
      <c r="F400" s="7" t="n"/>
      <c r="G400" s="7" t="n"/>
    </row>
    <row r="401" ht="15" customHeight="1">
      <c r="A401" s="7" t="n"/>
      <c r="B401" s="12">
        <f>IFERROR(INDEX(Panel!$B$4:$B$11,MATCH($A401,Panel!$A$4:$A$11,0)),"")</f>
        <v/>
      </c>
      <c r="C401" s="7" t="n"/>
      <c r="D401" s="12">
        <f>IFERROR(INDEX(Codebook!$B$4:$B$62,MATCH($C401,Codebook!$A$4:$A$62,0)),"")</f>
        <v/>
      </c>
      <c r="E401" s="7" t="n"/>
      <c r="F401" s="7" t="n"/>
      <c r="G401" s="7" t="n"/>
    </row>
    <row r="402" ht="15" customHeight="1">
      <c r="A402" s="7" t="n"/>
      <c r="B402" s="12">
        <f>IFERROR(INDEX(Panel!$B$4:$B$11,MATCH($A402,Panel!$A$4:$A$11,0)),"")</f>
        <v/>
      </c>
      <c r="C402" s="7" t="n"/>
      <c r="D402" s="12">
        <f>IFERROR(INDEX(Codebook!$B$4:$B$62,MATCH($C402,Codebook!$A$4:$A$62,0)),"")</f>
        <v/>
      </c>
      <c r="E402" s="7" t="n"/>
      <c r="F402" s="7" t="n"/>
      <c r="G402" s="7" t="n"/>
    </row>
    <row r="403" ht="15" customHeight="1">
      <c r="A403" s="7" t="n"/>
      <c r="B403" s="12">
        <f>IFERROR(INDEX(Panel!$B$4:$B$11,MATCH($A403,Panel!$A$4:$A$11,0)),"")</f>
        <v/>
      </c>
      <c r="C403" s="7" t="n"/>
      <c r="D403" s="12">
        <f>IFERROR(INDEX(Codebook!$B$4:$B$62,MATCH($C403,Codebook!$A$4:$A$62,0)),"")</f>
        <v/>
      </c>
      <c r="E403" s="7" t="n"/>
      <c r="F403" s="7" t="n"/>
      <c r="G403" s="7" t="n"/>
    </row>
    <row r="404" ht="15" customHeight="1">
      <c r="A404" s="7" t="n"/>
      <c r="B404" s="12">
        <f>IFERROR(INDEX(Panel!$B$4:$B$11,MATCH($A404,Panel!$A$4:$A$11,0)),"")</f>
        <v/>
      </c>
      <c r="C404" s="7" t="n"/>
      <c r="D404" s="12">
        <f>IFERROR(INDEX(Codebook!$B$4:$B$62,MATCH($C404,Codebook!$A$4:$A$62,0)),"")</f>
        <v/>
      </c>
      <c r="E404" s="7" t="n"/>
      <c r="F404" s="7" t="n"/>
      <c r="G404" s="7" t="n"/>
    </row>
    <row r="405" ht="15" customHeight="1">
      <c r="A405" s="7" t="n"/>
      <c r="B405" s="12">
        <f>IFERROR(INDEX(Panel!$B$4:$B$11,MATCH($A405,Panel!$A$4:$A$11,0)),"")</f>
        <v/>
      </c>
      <c r="C405" s="7" t="n"/>
      <c r="D405" s="12">
        <f>IFERROR(INDEX(Codebook!$B$4:$B$62,MATCH($C405,Codebook!$A$4:$A$62,0)),"")</f>
        <v/>
      </c>
      <c r="E405" s="7" t="n"/>
      <c r="F405" s="7" t="n"/>
      <c r="G405" s="7" t="n"/>
    </row>
    <row r="406" ht="15" customHeight="1">
      <c r="A406" s="7" t="n"/>
      <c r="B406" s="12">
        <f>IFERROR(INDEX(Panel!$B$4:$B$11,MATCH($A406,Panel!$A$4:$A$11,0)),"")</f>
        <v/>
      </c>
      <c r="C406" s="7" t="n"/>
      <c r="D406" s="12">
        <f>IFERROR(INDEX(Codebook!$B$4:$B$62,MATCH($C406,Codebook!$A$4:$A$62,0)),"")</f>
        <v/>
      </c>
      <c r="E406" s="7" t="n"/>
      <c r="F406" s="7" t="n"/>
      <c r="G406" s="7" t="n"/>
    </row>
    <row r="407" ht="15" customHeight="1">
      <c r="A407" s="7" t="n"/>
      <c r="B407" s="12">
        <f>IFERROR(INDEX(Panel!$B$4:$B$11,MATCH($A407,Panel!$A$4:$A$11,0)),"")</f>
        <v/>
      </c>
      <c r="C407" s="7" t="n"/>
      <c r="D407" s="12">
        <f>IFERROR(INDEX(Codebook!$B$4:$B$62,MATCH($C407,Codebook!$A$4:$A$62,0)),"")</f>
        <v/>
      </c>
      <c r="E407" s="7" t="n"/>
      <c r="F407" s="7" t="n"/>
      <c r="G407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zoomScaleNormal="100" workbookViewId="0">
      <pane xSplit="2" ySplit="4" topLeftCell="C22" activePane="bottomRight" state="frozen"/>
      <selection pane="topRight" activeCell="C1" sqref="C1"/>
      <selection pane="bottomLeft" activeCell="A5" sqref="A5"/>
      <selection pane="bottomRight" activeCell="G16" sqref="G16"/>
    </sheetView>
    <sheetView workbookViewId="1">
      <selection activeCell="A1" sqref="A1"/>
    </sheetView>
  </sheetViews>
  <sheetFormatPr baseColWidth="10" defaultColWidth="8.6640625" defaultRowHeight="15"/>
  <cols>
    <col width="10" customWidth="1" min="1" max="1"/>
    <col width="34" customWidth="1" min="2" max="2"/>
    <col width="7" customWidth="1" min="3" max="10"/>
    <col width="9" customWidth="1" min="11" max="11"/>
    <col width="14" customWidth="1" min="12" max="12"/>
  </cols>
  <sheetData>
    <row r="1" ht="24" customHeight="1">
      <c r="A1" s="1" t="inlineStr">
        <is>
          <t>Matrice codes x repondants (occurrences)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>
      <c r="A2" s="3" t="inlineStr">
        <is>
          <t>Calcule automatiquement depuis l'onglet Verbatims. Ne rien saisir ici.</t>
        </is>
      </c>
    </row>
    <row r="4" ht="24" customHeight="1">
      <c r="A4" s="6" t="inlineStr">
        <is>
          <t>Code</t>
        </is>
      </c>
      <c r="B4" s="6" t="inlineStr">
        <is>
          <t>Intitule</t>
        </is>
      </c>
      <c r="C4" s="13" t="inlineStr">
        <is>
          <t>J1</t>
        </is>
      </c>
      <c r="D4" s="13" t="inlineStr">
        <is>
          <t>J2</t>
        </is>
      </c>
      <c r="E4" s="13" t="inlineStr">
        <is>
          <t>J3</t>
        </is>
      </c>
      <c r="F4" s="13" t="inlineStr">
        <is>
          <t>J4</t>
        </is>
      </c>
      <c r="G4" s="13" t="inlineStr">
        <is>
          <t>E1</t>
        </is>
      </c>
      <c r="H4" s="13" t="inlineStr">
        <is>
          <t>E2</t>
        </is>
      </c>
      <c r="I4" s="13" t="inlineStr">
        <is>
          <t>E3</t>
        </is>
      </c>
      <c r="J4" s="13" t="inlineStr">
        <is>
          <t>E4</t>
        </is>
      </c>
      <c r="K4" s="13" t="inlineStr">
        <is>
          <t>Total</t>
        </is>
      </c>
      <c r="L4" s="13" t="inlineStr">
        <is>
          <t>Nb repondants</t>
        </is>
      </c>
    </row>
    <row r="5" ht="15" customHeight="1">
      <c r="A5" s="11" t="inlineStr">
        <is>
          <t>A1.1</t>
        </is>
      </c>
      <c r="B5" s="12" t="inlineStr">
        <is>
          <t>Recherche et veille</t>
        </is>
      </c>
      <c r="C5" s="14">
        <f>COUNTIFS(Verbatims!$A$5:$A$407,C$4,Verbatims!$C$5:$C$407,$A5)</f>
        <v/>
      </c>
      <c r="D5" s="14">
        <f>COUNTIFS(Verbatims!$A$5:$A$407,D$4,Verbatims!$C$5:$C$407,$A5)</f>
        <v/>
      </c>
      <c r="E5" s="14">
        <f>COUNTIFS(Verbatims!$A$5:$A$407,E$4,Verbatims!$C$5:$C$407,$A5)</f>
        <v/>
      </c>
      <c r="F5" s="14">
        <f>COUNTIFS(Verbatims!$A$5:$A$407,F$4,Verbatims!$C$5:$C$407,$A5)</f>
        <v/>
      </c>
      <c r="G5" s="14">
        <f>COUNTIFS(Verbatims!$A$5:$A$407,G$4,Verbatims!$C$5:$C$407,$A5)</f>
        <v/>
      </c>
      <c r="H5" s="14">
        <f>COUNTIFS(Verbatims!$A$5:$A$407,H$4,Verbatims!$C$5:$C$407,$A5)</f>
        <v/>
      </c>
      <c r="I5" s="14">
        <f>COUNTIFS(Verbatims!$A$5:$A$407,I$4,Verbatims!$C$5:$C$407,$A5)</f>
        <v/>
      </c>
      <c r="J5" s="14">
        <f>COUNTIFS(Verbatims!$A$5:$A$407,J$4,Verbatims!$C$5:$C$407,$A5)</f>
        <v/>
      </c>
      <c r="K5" s="15">
        <f>SUM(C5:J5)</f>
        <v/>
      </c>
      <c r="L5" s="15">
        <f>COUNTIF(C5:J5,"&gt;0")</f>
        <v/>
      </c>
    </row>
    <row r="6" ht="15" customHeight="1">
      <c r="A6" s="11" t="inlineStr">
        <is>
          <t>A1.2</t>
        </is>
      </c>
      <c r="B6" s="12" t="inlineStr">
        <is>
          <t>Synthese et reformulation</t>
        </is>
      </c>
      <c r="C6" s="14">
        <f>COUNTIFS(Verbatims!$A$5:$A$407,C$4,Verbatims!$C$5:$C$407,$A6)</f>
        <v/>
      </c>
      <c r="D6" s="14">
        <f>COUNTIFS(Verbatims!$A$5:$A$407,D$4,Verbatims!$C$5:$C$407,$A6)</f>
        <v/>
      </c>
      <c r="E6" s="14">
        <f>COUNTIFS(Verbatims!$A$5:$A$407,E$4,Verbatims!$C$5:$C$407,$A6)</f>
        <v/>
      </c>
      <c r="F6" s="14">
        <f>COUNTIFS(Verbatims!$A$5:$A$407,F$4,Verbatims!$C$5:$C$407,$A6)</f>
        <v/>
      </c>
      <c r="G6" s="14">
        <f>COUNTIFS(Verbatims!$A$5:$A$407,G$4,Verbatims!$C$5:$C$407,$A6)</f>
        <v/>
      </c>
      <c r="H6" s="14">
        <f>COUNTIFS(Verbatims!$A$5:$A$407,H$4,Verbatims!$C$5:$C$407,$A6)</f>
        <v/>
      </c>
      <c r="I6" s="14">
        <f>COUNTIFS(Verbatims!$A$5:$A$407,I$4,Verbatims!$C$5:$C$407,$A6)</f>
        <v/>
      </c>
      <c r="J6" s="14">
        <f>COUNTIFS(Verbatims!$A$5:$A$407,J$4,Verbatims!$C$5:$C$407,$A6)</f>
        <v/>
      </c>
      <c r="K6" s="15">
        <f>SUM(C6:J6)</f>
        <v/>
      </c>
      <c r="L6" s="15">
        <f>COUNTIF(C6:J6,"&gt;0")</f>
        <v/>
      </c>
    </row>
    <row r="7" ht="15" customHeight="1">
      <c r="A7" s="11" t="inlineStr">
        <is>
          <t>A1.3</t>
        </is>
      </c>
      <c r="B7" s="12" t="inlineStr">
        <is>
          <t>Premiere redaction</t>
        </is>
      </c>
      <c r="C7" s="14">
        <f>COUNTIFS(Verbatims!$A$5:$A$407,C$4,Verbatims!$C$5:$C$407,$A7)</f>
        <v/>
      </c>
      <c r="D7" s="14">
        <f>COUNTIFS(Verbatims!$A$5:$A$407,D$4,Verbatims!$C$5:$C$407,$A7)</f>
        <v/>
      </c>
      <c r="E7" s="14">
        <f>COUNTIFS(Verbatims!$A$5:$A$407,E$4,Verbatims!$C$5:$C$407,$A7)</f>
        <v/>
      </c>
      <c r="F7" s="14">
        <f>COUNTIFS(Verbatims!$A$5:$A$407,F$4,Verbatims!$C$5:$C$407,$A7)</f>
        <v/>
      </c>
      <c r="G7" s="14">
        <f>COUNTIFS(Verbatims!$A$5:$A$407,G$4,Verbatims!$C$5:$C$407,$A7)</f>
        <v/>
      </c>
      <c r="H7" s="14">
        <f>COUNTIFS(Verbatims!$A$5:$A$407,H$4,Verbatims!$C$5:$C$407,$A7)</f>
        <v/>
      </c>
      <c r="I7" s="14">
        <f>COUNTIFS(Verbatims!$A$5:$A$407,I$4,Verbatims!$C$5:$C$407,$A7)</f>
        <v/>
      </c>
      <c r="J7" s="14">
        <f>COUNTIFS(Verbatims!$A$5:$A$407,J$4,Verbatims!$C$5:$C$407,$A7)</f>
        <v/>
      </c>
      <c r="K7" s="15">
        <f>SUM(C7:J7)</f>
        <v/>
      </c>
      <c r="L7" s="15">
        <f>COUNTIF(C7:J7,"&gt;0")</f>
        <v/>
      </c>
    </row>
    <row r="8" ht="15" customHeight="1">
      <c r="A8" s="11" t="inlineStr">
        <is>
          <t>A1.4</t>
        </is>
      </c>
      <c r="B8" s="12" t="inlineStr">
        <is>
          <t>Traduction et mise en forme</t>
        </is>
      </c>
      <c r="C8" s="14">
        <f>COUNTIFS(Verbatims!$A$5:$A$407,C$4,Verbatims!$C$5:$C$407,$A8)</f>
        <v/>
      </c>
      <c r="D8" s="14">
        <f>COUNTIFS(Verbatims!$A$5:$A$407,D$4,Verbatims!$C$5:$C$407,$A8)</f>
        <v/>
      </c>
      <c r="E8" s="14">
        <f>COUNTIFS(Verbatims!$A$5:$A$407,E$4,Verbatims!$C$5:$C$407,$A8)</f>
        <v/>
      </c>
      <c r="F8" s="14">
        <f>COUNTIFS(Verbatims!$A$5:$A$407,F$4,Verbatims!$C$5:$C$407,$A8)</f>
        <v/>
      </c>
      <c r="G8" s="14">
        <f>COUNTIFS(Verbatims!$A$5:$A$407,G$4,Verbatims!$C$5:$C$407,$A8)</f>
        <v/>
      </c>
      <c r="H8" s="14">
        <f>COUNTIFS(Verbatims!$A$5:$A$407,H$4,Verbatims!$C$5:$C$407,$A8)</f>
        <v/>
      </c>
      <c r="I8" s="14">
        <f>COUNTIFS(Verbatims!$A$5:$A$407,I$4,Verbatims!$C$5:$C$407,$A8)</f>
        <v/>
      </c>
      <c r="J8" s="14">
        <f>COUNTIFS(Verbatims!$A$5:$A$407,J$4,Verbatims!$C$5:$C$407,$A8)</f>
        <v/>
      </c>
      <c r="K8" s="15">
        <f>SUM(C8:J8)</f>
        <v/>
      </c>
      <c r="L8" s="15">
        <f>COUNTIF(C8:J8,"&gt;0")</f>
        <v/>
      </c>
    </row>
    <row r="9" ht="15" customHeight="1">
      <c r="A9" s="11" t="inlineStr">
        <is>
          <t>A1.5</t>
        </is>
      </c>
      <c r="B9" s="12" t="inlineStr">
        <is>
          <t>Structuration du raisonnement</t>
        </is>
      </c>
      <c r="C9" s="14">
        <f>COUNTIFS(Verbatims!$A$5:$A$407,C$4,Verbatims!$C$5:$C$407,$A9)</f>
        <v/>
      </c>
      <c r="D9" s="14">
        <f>COUNTIFS(Verbatims!$A$5:$A$407,D$4,Verbatims!$C$5:$C$407,$A9)</f>
        <v/>
      </c>
      <c r="E9" s="14">
        <f>COUNTIFS(Verbatims!$A$5:$A$407,E$4,Verbatims!$C$5:$C$407,$A9)</f>
        <v/>
      </c>
      <c r="F9" s="14">
        <f>COUNTIFS(Verbatims!$A$5:$A$407,F$4,Verbatims!$C$5:$C$407,$A9)</f>
        <v/>
      </c>
      <c r="G9" s="14">
        <f>COUNTIFS(Verbatims!$A$5:$A$407,G$4,Verbatims!$C$5:$C$407,$A9)</f>
        <v/>
      </c>
      <c r="H9" s="14">
        <f>COUNTIFS(Verbatims!$A$5:$A$407,H$4,Verbatims!$C$5:$C$407,$A9)</f>
        <v/>
      </c>
      <c r="I9" s="14">
        <f>COUNTIFS(Verbatims!$A$5:$A$407,I$4,Verbatims!$C$5:$C$407,$A9)</f>
        <v/>
      </c>
      <c r="J9" s="14">
        <f>COUNTIFS(Verbatims!$A$5:$A$407,J$4,Verbatims!$C$5:$C$407,$A9)</f>
        <v/>
      </c>
      <c r="K9" s="15">
        <f>SUM(C9:J9)</f>
        <v/>
      </c>
      <c r="L9" s="15">
        <f>COUNTIF(C9:J9,"&gt;0")</f>
        <v/>
      </c>
    </row>
    <row r="10" ht="15" customHeight="1">
      <c r="A10" s="11" t="inlineStr">
        <is>
          <t>A2.1</t>
        </is>
      </c>
      <c r="B10" s="12" t="inlineStr">
        <is>
          <t>Sanctuarisation - confidentialite</t>
        </is>
      </c>
      <c r="C10" s="14">
        <f>COUNTIFS(Verbatims!$A$5:$A$407,C$4,Verbatims!$C$5:$C$407,$A10)</f>
        <v/>
      </c>
      <c r="D10" s="14">
        <f>COUNTIFS(Verbatims!$A$5:$A$407,D$4,Verbatims!$C$5:$C$407,$A10)</f>
        <v/>
      </c>
      <c r="E10" s="14">
        <f>COUNTIFS(Verbatims!$A$5:$A$407,E$4,Verbatims!$C$5:$C$407,$A10)</f>
        <v/>
      </c>
      <c r="F10" s="14">
        <f>COUNTIFS(Verbatims!$A$5:$A$407,F$4,Verbatims!$C$5:$C$407,$A10)</f>
        <v/>
      </c>
      <c r="G10" s="14">
        <f>COUNTIFS(Verbatims!$A$5:$A$407,G$4,Verbatims!$C$5:$C$407,$A10)</f>
        <v/>
      </c>
      <c r="H10" s="14">
        <f>COUNTIFS(Verbatims!$A$5:$A$407,H$4,Verbatims!$C$5:$C$407,$A10)</f>
        <v/>
      </c>
      <c r="I10" s="14">
        <f>COUNTIFS(Verbatims!$A$5:$A$407,I$4,Verbatims!$C$5:$C$407,$A10)</f>
        <v/>
      </c>
      <c r="J10" s="14">
        <f>COUNTIFS(Verbatims!$A$5:$A$407,J$4,Verbatims!$C$5:$C$407,$A10)</f>
        <v/>
      </c>
      <c r="K10" s="15">
        <f>SUM(C10:J10)</f>
        <v/>
      </c>
      <c r="L10" s="15">
        <f>COUNTIF(C10:J10,"&gt;0")</f>
        <v/>
      </c>
    </row>
    <row r="11" ht="15" customHeight="1">
      <c r="A11" s="11" t="inlineStr">
        <is>
          <t>A2.2</t>
        </is>
      </c>
      <c r="B11" s="12" t="inlineStr">
        <is>
          <t>Sanctuarisation - jugement</t>
        </is>
      </c>
      <c r="C11" s="14">
        <f>COUNTIFS(Verbatims!$A$5:$A$407,C$4,Verbatims!$C$5:$C$407,$A11)</f>
        <v/>
      </c>
      <c r="D11" s="14">
        <f>COUNTIFS(Verbatims!$A$5:$A$407,D$4,Verbatims!$C$5:$C$407,$A11)</f>
        <v/>
      </c>
      <c r="E11" s="14">
        <f>COUNTIFS(Verbatims!$A$5:$A$407,E$4,Verbatims!$C$5:$C$407,$A11)</f>
        <v/>
      </c>
      <c r="F11" s="14">
        <f>COUNTIFS(Verbatims!$A$5:$A$407,F$4,Verbatims!$C$5:$C$407,$A11)</f>
        <v/>
      </c>
      <c r="G11" s="14">
        <f>COUNTIFS(Verbatims!$A$5:$A$407,G$4,Verbatims!$C$5:$C$407,$A11)</f>
        <v/>
      </c>
      <c r="H11" s="14">
        <f>COUNTIFS(Verbatims!$A$5:$A$407,H$4,Verbatims!$C$5:$C$407,$A11)</f>
        <v/>
      </c>
      <c r="I11" s="14">
        <f>COUNTIFS(Verbatims!$A$5:$A$407,I$4,Verbatims!$C$5:$C$407,$A11)</f>
        <v/>
      </c>
      <c r="J11" s="14">
        <f>COUNTIFS(Verbatims!$A$5:$A$407,J$4,Verbatims!$C$5:$C$407,$A11)</f>
        <v/>
      </c>
      <c r="K11" s="15">
        <f>SUM(C11:J11)</f>
        <v/>
      </c>
      <c r="L11" s="15">
        <f>COUNTIF(C11:J11,"&gt;0")</f>
        <v/>
      </c>
    </row>
    <row r="12" ht="15" customHeight="1">
      <c r="A12" s="11" t="inlineStr">
        <is>
          <t>A2.3</t>
        </is>
      </c>
      <c r="B12" s="12" t="inlineStr">
        <is>
          <t>Sanctuarisation - relation</t>
        </is>
      </c>
      <c r="C12" s="14">
        <f>COUNTIFS(Verbatims!$A$5:$A$407,C$4,Verbatims!$C$5:$C$407,$A12)</f>
        <v/>
      </c>
      <c r="D12" s="14">
        <f>COUNTIFS(Verbatims!$A$5:$A$407,D$4,Verbatims!$C$5:$C$407,$A12)</f>
        <v/>
      </c>
      <c r="E12" s="14">
        <f>COUNTIFS(Verbatims!$A$5:$A$407,E$4,Verbatims!$C$5:$C$407,$A12)</f>
        <v/>
      </c>
      <c r="F12" s="14">
        <f>COUNTIFS(Verbatims!$A$5:$A$407,F$4,Verbatims!$C$5:$C$407,$A12)</f>
        <v/>
      </c>
      <c r="G12" s="14">
        <f>COUNTIFS(Verbatims!$A$5:$A$407,G$4,Verbatims!$C$5:$C$407,$A12)</f>
        <v/>
      </c>
      <c r="H12" s="14">
        <f>COUNTIFS(Verbatims!$A$5:$A$407,H$4,Verbatims!$C$5:$C$407,$A12)</f>
        <v/>
      </c>
      <c r="I12" s="14">
        <f>COUNTIFS(Verbatims!$A$5:$A$407,I$4,Verbatims!$C$5:$C$407,$A12)</f>
        <v/>
      </c>
      <c r="J12" s="14">
        <f>COUNTIFS(Verbatims!$A$5:$A$407,J$4,Verbatims!$C$5:$C$407,$A12)</f>
        <v/>
      </c>
      <c r="K12" s="15">
        <f>SUM(C12:J12)</f>
        <v/>
      </c>
      <c r="L12" s="15">
        <f>COUNTIF(C12:J12,"&gt;0")</f>
        <v/>
      </c>
    </row>
    <row r="13" ht="15" customHeight="1">
      <c r="A13" s="11" t="inlineStr">
        <is>
          <t>A3.1</t>
        </is>
      </c>
      <c r="B13" s="12" t="inlineStr">
        <is>
          <t>Apprentissage autonome</t>
        </is>
      </c>
      <c r="C13" s="14">
        <f>COUNTIFS(Verbatims!$A$5:$A$407,C$4,Verbatims!$C$5:$C$407,$A13)</f>
        <v/>
      </c>
      <c r="D13" s="14">
        <f>COUNTIFS(Verbatims!$A$5:$A$407,D$4,Verbatims!$C$5:$C$407,$A13)</f>
        <v/>
      </c>
      <c r="E13" s="14">
        <f>COUNTIFS(Verbatims!$A$5:$A$407,E$4,Verbatims!$C$5:$C$407,$A13)</f>
        <v/>
      </c>
      <c r="F13" s="14">
        <f>COUNTIFS(Verbatims!$A$5:$A$407,F$4,Verbatims!$C$5:$C$407,$A13)</f>
        <v/>
      </c>
      <c r="G13" s="14">
        <f>COUNTIFS(Verbatims!$A$5:$A$407,G$4,Verbatims!$C$5:$C$407,$A13)</f>
        <v/>
      </c>
      <c r="H13" s="14">
        <f>COUNTIFS(Verbatims!$A$5:$A$407,H$4,Verbatims!$C$5:$C$407,$A13)</f>
        <v/>
      </c>
      <c r="I13" s="14">
        <f>COUNTIFS(Verbatims!$A$5:$A$407,I$4,Verbatims!$C$5:$C$407,$A13)</f>
        <v/>
      </c>
      <c r="J13" s="14">
        <f>COUNTIFS(Verbatims!$A$5:$A$407,J$4,Verbatims!$C$5:$C$407,$A13)</f>
        <v/>
      </c>
      <c r="K13" s="15">
        <f>SUM(C13:J13)</f>
        <v/>
      </c>
      <c r="L13" s="15">
        <f>COUNTIF(C13:J13,"&gt;0")</f>
        <v/>
      </c>
    </row>
    <row r="14" ht="15" customHeight="1">
      <c r="A14" s="11" t="inlineStr">
        <is>
          <t>A3.2</t>
        </is>
      </c>
      <c r="B14" s="12" t="inlineStr">
        <is>
          <t>Transmission entre pairs</t>
        </is>
      </c>
      <c r="C14" s="14">
        <f>COUNTIFS(Verbatims!$A$5:$A$407,C$4,Verbatims!$C$5:$C$407,$A14)</f>
        <v/>
      </c>
      <c r="D14" s="14">
        <f>COUNTIFS(Verbatims!$A$5:$A$407,D$4,Verbatims!$C$5:$C$407,$A14)</f>
        <v/>
      </c>
      <c r="E14" s="14">
        <f>COUNTIFS(Verbatims!$A$5:$A$407,E$4,Verbatims!$C$5:$C$407,$A14)</f>
        <v/>
      </c>
      <c r="F14" s="14">
        <f>COUNTIFS(Verbatims!$A$5:$A$407,F$4,Verbatims!$C$5:$C$407,$A14)</f>
        <v/>
      </c>
      <c r="G14" s="14">
        <f>COUNTIFS(Verbatims!$A$5:$A$407,G$4,Verbatims!$C$5:$C$407,$A14)</f>
        <v/>
      </c>
      <c r="H14" s="14">
        <f>COUNTIFS(Verbatims!$A$5:$A$407,H$4,Verbatims!$C$5:$C$407,$A14)</f>
        <v/>
      </c>
      <c r="I14" s="14">
        <f>COUNTIFS(Verbatims!$A$5:$A$407,I$4,Verbatims!$C$5:$C$407,$A14)</f>
        <v/>
      </c>
      <c r="J14" s="14">
        <f>COUNTIFS(Verbatims!$A$5:$A$407,J$4,Verbatims!$C$5:$C$407,$A14)</f>
        <v/>
      </c>
      <c r="K14" s="15">
        <f>SUM(C14:J14)</f>
        <v/>
      </c>
      <c r="L14" s="15">
        <f>COUNTIF(C14:J14,"&gt;0")</f>
        <v/>
      </c>
    </row>
    <row r="15" ht="15" customHeight="1">
      <c r="A15" s="11" t="inlineStr">
        <is>
          <t>A3.3</t>
        </is>
      </c>
      <c r="B15" s="12" t="inlineStr">
        <is>
          <t>Formation institutionnelle</t>
        </is>
      </c>
      <c r="C15" s="14">
        <f>COUNTIFS(Verbatims!$A$5:$A$407,C$4,Verbatims!$C$5:$C$407,$A15)</f>
        <v/>
      </c>
      <c r="D15" s="14">
        <f>COUNTIFS(Verbatims!$A$5:$A$407,D$4,Verbatims!$C$5:$C$407,$A15)</f>
        <v/>
      </c>
      <c r="E15" s="14">
        <f>COUNTIFS(Verbatims!$A$5:$A$407,E$4,Verbatims!$C$5:$C$407,$A15)</f>
        <v/>
      </c>
      <c r="F15" s="14">
        <f>COUNTIFS(Verbatims!$A$5:$A$407,F$4,Verbatims!$C$5:$C$407,$A15)</f>
        <v/>
      </c>
      <c r="G15" s="14">
        <f>COUNTIFS(Verbatims!$A$5:$A$407,G$4,Verbatims!$C$5:$C$407,$A15)</f>
        <v/>
      </c>
      <c r="H15" s="14">
        <f>COUNTIFS(Verbatims!$A$5:$A$407,H$4,Verbatims!$C$5:$C$407,$A15)</f>
        <v/>
      </c>
      <c r="I15" s="14">
        <f>COUNTIFS(Verbatims!$A$5:$A$407,I$4,Verbatims!$C$5:$C$407,$A15)</f>
        <v/>
      </c>
      <c r="J15" s="14">
        <f>COUNTIFS(Verbatims!$A$5:$A$407,J$4,Verbatims!$C$5:$C$407,$A15)</f>
        <v/>
      </c>
      <c r="K15" s="15">
        <f>SUM(C15:J15)</f>
        <v/>
      </c>
      <c r="L15" s="15">
        <f>COUNTIF(C15:J15,"&gt;0")</f>
        <v/>
      </c>
    </row>
    <row r="16" ht="15" customHeight="1">
      <c r="A16" s="11" t="inlineStr">
        <is>
          <t>A4.1</t>
        </is>
      </c>
      <c r="B16" s="12" t="inlineStr">
        <is>
          <t>Utilite percue</t>
        </is>
      </c>
      <c r="C16" s="14">
        <f>COUNTIFS(Verbatims!$A$5:$A$407,C$4,Verbatims!$C$5:$C$407,$A16)</f>
        <v/>
      </c>
      <c r="D16" s="14">
        <f>COUNTIFS(Verbatims!$A$5:$A$407,D$4,Verbatims!$C$5:$C$407,$A16)</f>
        <v/>
      </c>
      <c r="E16" s="14">
        <f>COUNTIFS(Verbatims!$A$5:$A$407,E$4,Verbatims!$C$5:$C$407,$A16)</f>
        <v/>
      </c>
      <c r="F16" s="14">
        <f>COUNTIFS(Verbatims!$A$5:$A$407,F$4,Verbatims!$C$5:$C$407,$A16)</f>
        <v/>
      </c>
      <c r="G16" s="14">
        <f>COUNTIFS(Verbatims!$A$5:$A$407,G$4,Verbatims!$C$5:$C$407,$A16)</f>
        <v/>
      </c>
      <c r="H16" s="14">
        <f>COUNTIFS(Verbatims!$A$5:$A$407,H$4,Verbatims!$C$5:$C$407,$A16)</f>
        <v/>
      </c>
      <c r="I16" s="14">
        <f>COUNTIFS(Verbatims!$A$5:$A$407,I$4,Verbatims!$C$5:$C$407,$A16)</f>
        <v/>
      </c>
      <c r="J16" s="14">
        <f>COUNTIFS(Verbatims!$A$5:$A$407,J$4,Verbatims!$C$5:$C$407,$A16)</f>
        <v/>
      </c>
      <c r="K16" s="15">
        <f>SUM(C16:J16)</f>
        <v/>
      </c>
      <c r="L16" s="15">
        <f>COUNTIF(C16:J16,"&gt;0")</f>
        <v/>
      </c>
    </row>
    <row r="17" ht="15" customHeight="1">
      <c r="A17" s="11" t="inlineStr">
        <is>
          <t>A4.2</t>
        </is>
      </c>
      <c r="B17" s="12" t="inlineStr">
        <is>
          <t>Facilite d'usage percue</t>
        </is>
      </c>
      <c r="C17" s="14">
        <f>COUNTIFS(Verbatims!$A$5:$A$407,C$4,Verbatims!$C$5:$C$407,$A17)</f>
        <v/>
      </c>
      <c r="D17" s="14">
        <f>COUNTIFS(Verbatims!$A$5:$A$407,D$4,Verbatims!$C$5:$C$407,$A17)</f>
        <v/>
      </c>
      <c r="E17" s="14">
        <f>COUNTIFS(Verbatims!$A$5:$A$407,E$4,Verbatims!$C$5:$C$407,$A17)</f>
        <v/>
      </c>
      <c r="F17" s="14">
        <f>COUNTIFS(Verbatims!$A$5:$A$407,F$4,Verbatims!$C$5:$C$407,$A17)</f>
        <v/>
      </c>
      <c r="G17" s="14">
        <f>COUNTIFS(Verbatims!$A$5:$A$407,G$4,Verbatims!$C$5:$C$407,$A17)</f>
        <v/>
      </c>
      <c r="H17" s="14">
        <f>COUNTIFS(Verbatims!$A$5:$A$407,H$4,Verbatims!$C$5:$C$407,$A17)</f>
        <v/>
      </c>
      <c r="I17" s="14">
        <f>COUNTIFS(Verbatims!$A$5:$A$407,I$4,Verbatims!$C$5:$C$407,$A17)</f>
        <v/>
      </c>
      <c r="J17" s="14">
        <f>COUNTIFS(Verbatims!$A$5:$A$407,J$4,Verbatims!$C$5:$C$407,$A17)</f>
        <v/>
      </c>
      <c r="K17" s="15">
        <f>SUM(C17:J17)</f>
        <v/>
      </c>
      <c r="L17" s="15">
        <f>COUNTIF(C17:J17,"&gt;0")</f>
        <v/>
      </c>
    </row>
    <row r="18" ht="15" customHeight="1">
      <c r="A18" s="11" t="inlineStr">
        <is>
          <t>A4.3</t>
        </is>
      </c>
      <c r="B18" s="12" t="inlineStr">
        <is>
          <t>Resistance ou evitement</t>
        </is>
      </c>
      <c r="C18" s="14">
        <f>COUNTIFS(Verbatims!$A$5:$A$407,C$4,Verbatims!$C$5:$C$407,$A18)</f>
        <v/>
      </c>
      <c r="D18" s="14">
        <f>COUNTIFS(Verbatims!$A$5:$A$407,D$4,Verbatims!$C$5:$C$407,$A18)</f>
        <v/>
      </c>
      <c r="E18" s="14">
        <f>COUNTIFS(Verbatims!$A$5:$A$407,E$4,Verbatims!$C$5:$C$407,$A18)</f>
        <v/>
      </c>
      <c r="F18" s="14">
        <f>COUNTIFS(Verbatims!$A$5:$A$407,F$4,Verbatims!$C$5:$C$407,$A18)</f>
        <v/>
      </c>
      <c r="G18" s="14">
        <f>COUNTIFS(Verbatims!$A$5:$A$407,G$4,Verbatims!$C$5:$C$407,$A18)</f>
        <v/>
      </c>
      <c r="H18" s="14">
        <f>COUNTIFS(Verbatims!$A$5:$A$407,H$4,Verbatims!$C$5:$C$407,$A18)</f>
        <v/>
      </c>
      <c r="I18" s="14">
        <f>COUNTIFS(Verbatims!$A$5:$A$407,I$4,Verbatims!$C$5:$C$407,$A18)</f>
        <v/>
      </c>
      <c r="J18" s="14">
        <f>COUNTIFS(Verbatims!$A$5:$A$407,J$4,Verbatims!$C$5:$C$407,$A18)</f>
        <v/>
      </c>
      <c r="K18" s="15">
        <f>SUM(C18:J18)</f>
        <v/>
      </c>
      <c r="L18" s="15">
        <f>COUNTIF(C18:J18,"&gt;0")</f>
        <v/>
      </c>
    </row>
    <row r="19" ht="15" customHeight="1">
      <c r="A19" s="11" t="inlineStr">
        <is>
          <t>A4.4</t>
        </is>
      </c>
      <c r="B19" s="12" t="inlineStr">
        <is>
          <t>Contournement outille</t>
        </is>
      </c>
      <c r="C19" s="14">
        <f>COUNTIFS(Verbatims!$A$5:$A$407,C$4,Verbatims!$C$5:$C$407,$A19)</f>
        <v/>
      </c>
      <c r="D19" s="14">
        <f>COUNTIFS(Verbatims!$A$5:$A$407,D$4,Verbatims!$C$5:$C$407,$A19)</f>
        <v/>
      </c>
      <c r="E19" s="14">
        <f>COUNTIFS(Verbatims!$A$5:$A$407,E$4,Verbatims!$C$5:$C$407,$A19)</f>
        <v/>
      </c>
      <c r="F19" s="14">
        <f>COUNTIFS(Verbatims!$A$5:$A$407,F$4,Verbatims!$C$5:$C$407,$A19)</f>
        <v/>
      </c>
      <c r="G19" s="14">
        <f>COUNTIFS(Verbatims!$A$5:$A$407,G$4,Verbatims!$C$5:$C$407,$A19)</f>
        <v/>
      </c>
      <c r="H19" s="14">
        <f>COUNTIFS(Verbatims!$A$5:$A$407,H$4,Verbatims!$C$5:$C$407,$A19)</f>
        <v/>
      </c>
      <c r="I19" s="14">
        <f>COUNTIFS(Verbatims!$A$5:$A$407,I$4,Verbatims!$C$5:$C$407,$A19)</f>
        <v/>
      </c>
      <c r="J19" s="14">
        <f>COUNTIFS(Verbatims!$A$5:$A$407,J$4,Verbatims!$C$5:$C$407,$A19)</f>
        <v/>
      </c>
      <c r="K19" s="15">
        <f>SUM(C19:J19)</f>
        <v/>
      </c>
      <c r="L19" s="15">
        <f>COUNTIF(C19:J19,"&gt;0")</f>
        <v/>
      </c>
    </row>
    <row r="20" ht="15" customHeight="1">
      <c r="A20" s="11" t="inlineStr">
        <is>
          <t>B1.1</t>
        </is>
      </c>
      <c r="B20" s="12" t="inlineStr">
        <is>
          <t>Vertu formatrice reconnue</t>
        </is>
      </c>
      <c r="C20" s="14">
        <f>COUNTIFS(Verbatims!$A$5:$A$407,C$4,Verbatims!$C$5:$C$407,$A20)</f>
        <v/>
      </c>
      <c r="D20" s="14">
        <f>COUNTIFS(Verbatims!$A$5:$A$407,D$4,Verbatims!$C$5:$C$407,$A20)</f>
        <v/>
      </c>
      <c r="E20" s="14">
        <f>COUNTIFS(Verbatims!$A$5:$A$407,E$4,Verbatims!$C$5:$C$407,$A20)</f>
        <v/>
      </c>
      <c r="F20" s="14">
        <f>COUNTIFS(Verbatims!$A$5:$A$407,F$4,Verbatims!$C$5:$C$407,$A20)</f>
        <v/>
      </c>
      <c r="G20" s="14">
        <f>COUNTIFS(Verbatims!$A$5:$A$407,G$4,Verbatims!$C$5:$C$407,$A20)</f>
        <v/>
      </c>
      <c r="H20" s="14">
        <f>COUNTIFS(Verbatims!$A$5:$A$407,H$4,Verbatims!$C$5:$C$407,$A20)</f>
        <v/>
      </c>
      <c r="I20" s="14">
        <f>COUNTIFS(Verbatims!$A$5:$A$407,I$4,Verbatims!$C$5:$C$407,$A20)</f>
        <v/>
      </c>
      <c r="J20" s="14">
        <f>COUNTIFS(Verbatims!$A$5:$A$407,J$4,Verbatims!$C$5:$C$407,$A20)</f>
        <v/>
      </c>
      <c r="K20" s="15">
        <f>SUM(C20:J20)</f>
        <v/>
      </c>
      <c r="L20" s="15">
        <f>COUNTIF(C20:J20,"&gt;0")</f>
        <v/>
      </c>
    </row>
    <row r="21" ht="15" customHeight="1">
      <c r="A21" s="11" t="inlineStr">
        <is>
          <t>B1.2</t>
        </is>
      </c>
      <c r="B21" s="12" t="inlineStr">
        <is>
          <t>Vertu formatrice deniee</t>
        </is>
      </c>
      <c r="C21" s="14">
        <f>COUNTIFS(Verbatims!$A$5:$A$407,C$4,Verbatims!$C$5:$C$407,$A21)</f>
        <v/>
      </c>
      <c r="D21" s="14">
        <f>COUNTIFS(Verbatims!$A$5:$A$407,D$4,Verbatims!$C$5:$C$407,$A21)</f>
        <v/>
      </c>
      <c r="E21" s="14">
        <f>COUNTIFS(Verbatims!$A$5:$A$407,E$4,Verbatims!$C$5:$C$407,$A21)</f>
        <v/>
      </c>
      <c r="F21" s="14">
        <f>COUNTIFS(Verbatims!$A$5:$A$407,F$4,Verbatims!$C$5:$C$407,$A21)</f>
        <v/>
      </c>
      <c r="G21" s="14">
        <f>COUNTIFS(Verbatims!$A$5:$A$407,G$4,Verbatims!$C$5:$C$407,$A21)</f>
        <v/>
      </c>
      <c r="H21" s="14">
        <f>COUNTIFS(Verbatims!$A$5:$A$407,H$4,Verbatims!$C$5:$C$407,$A21)</f>
        <v/>
      </c>
      <c r="I21" s="14">
        <f>COUNTIFS(Verbatims!$A$5:$A$407,I$4,Verbatims!$C$5:$C$407,$A21)</f>
        <v/>
      </c>
      <c r="J21" s="14">
        <f>COUNTIFS(Verbatims!$A$5:$A$407,J$4,Verbatims!$C$5:$C$407,$A21)</f>
        <v/>
      </c>
      <c r="K21" s="15">
        <f>SUM(C21:J21)</f>
        <v/>
      </c>
      <c r="L21" s="15">
        <f>COUNTIF(C21:J21,"&gt;0")</f>
        <v/>
      </c>
    </row>
    <row r="22" ht="23.25" customHeight="1">
      <c r="A22" s="11" t="inlineStr">
        <is>
          <t>B2.1</t>
        </is>
      </c>
      <c r="B22" s="12" t="inlineStr">
        <is>
          <t>Acceleration de la montee en competence</t>
        </is>
      </c>
      <c r="C22" s="14">
        <f>COUNTIFS(Verbatims!$A$5:$A$407,C$4,Verbatims!$C$5:$C$407,$A22)</f>
        <v/>
      </c>
      <c r="D22" s="14">
        <f>COUNTIFS(Verbatims!$A$5:$A$407,D$4,Verbatims!$C$5:$C$407,$A22)</f>
        <v/>
      </c>
      <c r="E22" s="14">
        <f>COUNTIFS(Verbatims!$A$5:$A$407,E$4,Verbatims!$C$5:$C$407,$A22)</f>
        <v/>
      </c>
      <c r="F22" s="14">
        <f>COUNTIFS(Verbatims!$A$5:$A$407,F$4,Verbatims!$C$5:$C$407,$A22)</f>
        <v/>
      </c>
      <c r="G22" s="14">
        <f>COUNTIFS(Verbatims!$A$5:$A$407,G$4,Verbatims!$C$5:$C$407,$A22)</f>
        <v/>
      </c>
      <c r="H22" s="14">
        <f>COUNTIFS(Verbatims!$A$5:$A$407,H$4,Verbatims!$C$5:$C$407,$A22)</f>
        <v/>
      </c>
      <c r="I22" s="14">
        <f>COUNTIFS(Verbatims!$A$5:$A$407,I$4,Verbatims!$C$5:$C$407,$A22)</f>
        <v/>
      </c>
      <c r="J22" s="14">
        <f>COUNTIFS(Verbatims!$A$5:$A$407,J$4,Verbatims!$C$5:$C$407,$A22)</f>
        <v/>
      </c>
      <c r="K22" s="15">
        <f>SUM(C22:J22)</f>
        <v/>
      </c>
      <c r="L22" s="15">
        <f>COUNTIF(C22:J22,"&gt;0")</f>
        <v/>
      </c>
    </row>
    <row r="23" ht="15" customHeight="1">
      <c r="A23" s="11" t="inlineStr">
        <is>
          <t>B2.2</t>
        </is>
      </c>
      <c r="B23" s="12" t="inlineStr">
        <is>
          <t>Atrophie du raisonnement</t>
        </is>
      </c>
      <c r="C23" s="14">
        <f>COUNTIFS(Verbatims!$A$5:$A$407,C$4,Verbatims!$C$5:$C$407,$A23)</f>
        <v/>
      </c>
      <c r="D23" s="14">
        <f>COUNTIFS(Verbatims!$A$5:$A$407,D$4,Verbatims!$C$5:$C$407,$A23)</f>
        <v/>
      </c>
      <c r="E23" s="14">
        <f>COUNTIFS(Verbatims!$A$5:$A$407,E$4,Verbatims!$C$5:$C$407,$A23)</f>
        <v/>
      </c>
      <c r="F23" s="14">
        <f>COUNTIFS(Verbatims!$A$5:$A$407,F$4,Verbatims!$C$5:$C$407,$A23)</f>
        <v/>
      </c>
      <c r="G23" s="14">
        <f>COUNTIFS(Verbatims!$A$5:$A$407,G$4,Verbatims!$C$5:$C$407,$A23)</f>
        <v/>
      </c>
      <c r="H23" s="14">
        <f>COUNTIFS(Verbatims!$A$5:$A$407,H$4,Verbatims!$C$5:$C$407,$A23)</f>
        <v/>
      </c>
      <c r="I23" s="14">
        <f>COUNTIFS(Verbatims!$A$5:$A$407,I$4,Verbatims!$C$5:$C$407,$A23)</f>
        <v/>
      </c>
      <c r="J23" s="14">
        <f>COUNTIFS(Verbatims!$A$5:$A$407,J$4,Verbatims!$C$5:$C$407,$A23)</f>
        <v/>
      </c>
      <c r="K23" s="15">
        <f>SUM(C23:J23)</f>
        <v/>
      </c>
      <c r="L23" s="15">
        <f>COUNTIF(C23:J23,"&gt;0")</f>
        <v/>
      </c>
    </row>
    <row r="24" ht="15" customHeight="1">
      <c r="A24" s="11" t="inlineStr">
        <is>
          <t>B2.3</t>
        </is>
      </c>
      <c r="B24" s="12" t="inlineStr">
        <is>
          <t>Verification comme competence</t>
        </is>
      </c>
      <c r="C24" s="14">
        <f>COUNTIFS(Verbatims!$A$5:$A$407,C$4,Verbatims!$C$5:$C$407,$A24)</f>
        <v/>
      </c>
      <c r="D24" s="14">
        <f>COUNTIFS(Verbatims!$A$5:$A$407,D$4,Verbatims!$C$5:$C$407,$A24)</f>
        <v/>
      </c>
      <c r="E24" s="14">
        <f>COUNTIFS(Verbatims!$A$5:$A$407,E$4,Verbatims!$C$5:$C$407,$A24)</f>
        <v/>
      </c>
      <c r="F24" s="14">
        <f>COUNTIFS(Verbatims!$A$5:$A$407,F$4,Verbatims!$C$5:$C$407,$A24)</f>
        <v/>
      </c>
      <c r="G24" s="14">
        <f>COUNTIFS(Verbatims!$A$5:$A$407,G$4,Verbatims!$C$5:$C$407,$A24)</f>
        <v/>
      </c>
      <c r="H24" s="14">
        <f>COUNTIFS(Verbatims!$A$5:$A$407,H$4,Verbatims!$C$5:$C$407,$A24)</f>
        <v/>
      </c>
      <c r="I24" s="14">
        <f>COUNTIFS(Verbatims!$A$5:$A$407,I$4,Verbatims!$C$5:$C$407,$A24)</f>
        <v/>
      </c>
      <c r="J24" s="14">
        <f>COUNTIFS(Verbatims!$A$5:$A$407,J$4,Verbatims!$C$5:$C$407,$A24)</f>
        <v/>
      </c>
      <c r="K24" s="15">
        <f>SUM(C24:J24)</f>
        <v/>
      </c>
      <c r="L24" s="15">
        <f>COUNTIF(C24:J24,"&gt;0")</f>
        <v/>
      </c>
    </row>
    <row r="25" ht="15" customHeight="1">
      <c r="A25" s="11" t="inlineStr">
        <is>
          <t>B3.1</t>
        </is>
      </c>
      <c r="B25" s="12" t="inlineStr">
        <is>
          <t>Relecture senior formatrice</t>
        </is>
      </c>
      <c r="C25" s="14">
        <f>COUNTIFS(Verbatims!$A$5:$A$407,C$4,Verbatims!$C$5:$C$407,$A25)</f>
        <v/>
      </c>
      <c r="D25" s="14">
        <f>COUNTIFS(Verbatims!$A$5:$A$407,D$4,Verbatims!$C$5:$C$407,$A25)</f>
        <v/>
      </c>
      <c r="E25" s="14">
        <f>COUNTIFS(Verbatims!$A$5:$A$407,E$4,Verbatims!$C$5:$C$407,$A25)</f>
        <v/>
      </c>
      <c r="F25" s="14">
        <f>COUNTIFS(Verbatims!$A$5:$A$407,F$4,Verbatims!$C$5:$C$407,$A25)</f>
        <v/>
      </c>
      <c r="G25" s="14">
        <f>COUNTIFS(Verbatims!$A$5:$A$407,G$4,Verbatims!$C$5:$C$407,$A25)</f>
        <v/>
      </c>
      <c r="H25" s="14">
        <f>COUNTIFS(Verbatims!$A$5:$A$407,H$4,Verbatims!$C$5:$C$407,$A25)</f>
        <v/>
      </c>
      <c r="I25" s="14">
        <f>COUNTIFS(Verbatims!$A$5:$A$407,I$4,Verbatims!$C$5:$C$407,$A25)</f>
        <v/>
      </c>
      <c r="J25" s="14">
        <f>COUNTIFS(Verbatims!$A$5:$A$407,J$4,Verbatims!$C$5:$C$407,$A25)</f>
        <v/>
      </c>
      <c r="K25" s="15">
        <f>SUM(C25:J25)</f>
        <v/>
      </c>
      <c r="L25" s="15">
        <f>COUNTIF(C25:J25,"&gt;0")</f>
        <v/>
      </c>
    </row>
    <row r="26" ht="15" customHeight="1">
      <c r="A26" s="11" t="inlineStr">
        <is>
          <t>B3.2</t>
        </is>
      </c>
      <c r="B26" s="12" t="inlineStr">
        <is>
          <t>Appauvrissement de l'interaction</t>
        </is>
      </c>
      <c r="C26" s="14">
        <f>COUNTIFS(Verbatims!$A$5:$A$407,C$4,Verbatims!$C$5:$C$407,$A26)</f>
        <v/>
      </c>
      <c r="D26" s="14">
        <f>COUNTIFS(Verbatims!$A$5:$A$407,D$4,Verbatims!$C$5:$C$407,$A26)</f>
        <v/>
      </c>
      <c r="E26" s="14">
        <f>COUNTIFS(Verbatims!$A$5:$A$407,E$4,Verbatims!$C$5:$C$407,$A26)</f>
        <v/>
      </c>
      <c r="F26" s="14">
        <f>COUNTIFS(Verbatims!$A$5:$A$407,F$4,Verbatims!$C$5:$C$407,$A26)</f>
        <v/>
      </c>
      <c r="G26" s="14">
        <f>COUNTIFS(Verbatims!$A$5:$A$407,G$4,Verbatims!$C$5:$C$407,$A26)</f>
        <v/>
      </c>
      <c r="H26" s="14">
        <f>COUNTIFS(Verbatims!$A$5:$A$407,H$4,Verbatims!$C$5:$C$407,$A26)</f>
        <v/>
      </c>
      <c r="I26" s="14">
        <f>COUNTIFS(Verbatims!$A$5:$A$407,I$4,Verbatims!$C$5:$C$407,$A26)</f>
        <v/>
      </c>
      <c r="J26" s="14">
        <f>COUNTIFS(Verbatims!$A$5:$A$407,J$4,Verbatims!$C$5:$C$407,$A26)</f>
        <v/>
      </c>
      <c r="K26" s="15">
        <f>SUM(C26:J26)</f>
        <v/>
      </c>
      <c r="L26" s="15">
        <f>COUNTIF(C26:J26,"&gt;0")</f>
        <v/>
      </c>
    </row>
    <row r="27" ht="15" customHeight="1">
      <c r="A27" s="11" t="inlineStr">
        <is>
          <t>B3.3</t>
        </is>
      </c>
      <c r="B27" s="12" t="inlineStr">
        <is>
          <t>Compagnonnage preserve</t>
        </is>
      </c>
      <c r="C27" s="14">
        <f>COUNTIFS(Verbatims!$A$5:$A$407,C$4,Verbatims!$C$5:$C$407,$A27)</f>
        <v/>
      </c>
      <c r="D27" s="14">
        <f>COUNTIFS(Verbatims!$A$5:$A$407,D$4,Verbatims!$C$5:$C$407,$A27)</f>
        <v/>
      </c>
      <c r="E27" s="14">
        <f>COUNTIFS(Verbatims!$A$5:$A$407,E$4,Verbatims!$C$5:$C$407,$A27)</f>
        <v/>
      </c>
      <c r="F27" s="14">
        <f>COUNTIFS(Verbatims!$A$5:$A$407,F$4,Verbatims!$C$5:$C$407,$A27)</f>
        <v/>
      </c>
      <c r="G27" s="14">
        <f>COUNTIFS(Verbatims!$A$5:$A$407,G$4,Verbatims!$C$5:$C$407,$A27)</f>
        <v/>
      </c>
      <c r="H27" s="14">
        <f>COUNTIFS(Verbatims!$A$5:$A$407,H$4,Verbatims!$C$5:$C$407,$A27)</f>
        <v/>
      </c>
      <c r="I27" s="14">
        <f>COUNTIFS(Verbatims!$A$5:$A$407,I$4,Verbatims!$C$5:$C$407,$A27)</f>
        <v/>
      </c>
      <c r="J27" s="14">
        <f>COUNTIFS(Verbatims!$A$5:$A$407,J$4,Verbatims!$C$5:$C$407,$A27)</f>
        <v/>
      </c>
      <c r="K27" s="15">
        <f>SUM(C27:J27)</f>
        <v/>
      </c>
      <c r="L27" s="15">
        <f>COUNTIF(C27:J27,"&gt;0")</f>
        <v/>
      </c>
    </row>
    <row r="28" ht="15" customHeight="1">
      <c r="A28" s="11" t="inlineStr">
        <is>
          <t>B4.1</t>
        </is>
      </c>
      <c r="B28" s="12" t="inlineStr">
        <is>
          <t>Dependance declaree</t>
        </is>
      </c>
      <c r="C28" s="14">
        <f>COUNTIFS(Verbatims!$A$5:$A$407,C$4,Verbatims!$C$5:$C$407,$A28)</f>
        <v/>
      </c>
      <c r="D28" s="14">
        <f>COUNTIFS(Verbatims!$A$5:$A$407,D$4,Verbatims!$C$5:$C$407,$A28)</f>
        <v/>
      </c>
      <c r="E28" s="14">
        <f>COUNTIFS(Verbatims!$A$5:$A$407,E$4,Verbatims!$C$5:$C$407,$A28)</f>
        <v/>
      </c>
      <c r="F28" s="14">
        <f>COUNTIFS(Verbatims!$A$5:$A$407,F$4,Verbatims!$C$5:$C$407,$A28)</f>
        <v/>
      </c>
      <c r="G28" s="14">
        <f>COUNTIFS(Verbatims!$A$5:$A$407,G$4,Verbatims!$C$5:$C$407,$A28)</f>
        <v/>
      </c>
      <c r="H28" s="14">
        <f>COUNTIFS(Verbatims!$A$5:$A$407,H$4,Verbatims!$C$5:$C$407,$A28)</f>
        <v/>
      </c>
      <c r="I28" s="14">
        <f>COUNTIFS(Verbatims!$A$5:$A$407,I$4,Verbatims!$C$5:$C$407,$A28)</f>
        <v/>
      </c>
      <c r="J28" s="14">
        <f>COUNTIFS(Verbatims!$A$5:$A$407,J$4,Verbatims!$C$5:$C$407,$A28)</f>
        <v/>
      </c>
      <c r="K28" s="15">
        <f>SUM(C28:J28)</f>
        <v/>
      </c>
      <c r="L28" s="15">
        <f>COUNTIF(C28:J28,"&gt;0")</f>
        <v/>
      </c>
    </row>
    <row r="29" ht="15" customHeight="1">
      <c r="A29" s="11" t="inlineStr">
        <is>
          <t>B4.2</t>
        </is>
      </c>
      <c r="B29" s="12" t="inlineStr">
        <is>
          <t>Validation sans maitrise</t>
        </is>
      </c>
      <c r="C29" s="14">
        <f>COUNTIFS(Verbatims!$A$5:$A$407,C$4,Verbatims!$C$5:$C$407,$A29)</f>
        <v/>
      </c>
      <c r="D29" s="14">
        <f>COUNTIFS(Verbatims!$A$5:$A$407,D$4,Verbatims!$C$5:$C$407,$A29)</f>
        <v/>
      </c>
      <c r="E29" s="14">
        <f>COUNTIFS(Verbatims!$A$5:$A$407,E$4,Verbatims!$C$5:$C$407,$A29)</f>
        <v/>
      </c>
      <c r="F29" s="14">
        <f>COUNTIFS(Verbatims!$A$5:$A$407,F$4,Verbatims!$C$5:$C$407,$A29)</f>
        <v/>
      </c>
      <c r="G29" s="14">
        <f>COUNTIFS(Verbatims!$A$5:$A$407,G$4,Verbatims!$C$5:$C$407,$A29)</f>
        <v/>
      </c>
      <c r="H29" s="14">
        <f>COUNTIFS(Verbatims!$A$5:$A$407,H$4,Verbatims!$C$5:$C$407,$A29)</f>
        <v/>
      </c>
      <c r="I29" s="14">
        <f>COUNTIFS(Verbatims!$A$5:$A$407,I$4,Verbatims!$C$5:$C$407,$A29)</f>
        <v/>
      </c>
      <c r="J29" s="14">
        <f>COUNTIFS(Verbatims!$A$5:$A$407,J$4,Verbatims!$C$5:$C$407,$A29)</f>
        <v/>
      </c>
      <c r="K29" s="15">
        <f>SUM(C29:J29)</f>
        <v/>
      </c>
      <c r="L29" s="15">
        <f>COUNTIF(C29:J29,"&gt;0")</f>
        <v/>
      </c>
    </row>
    <row r="30" ht="15" customHeight="1">
      <c r="A30" s="11" t="inlineStr">
        <is>
          <t>C1.1</t>
        </is>
      </c>
      <c r="B30" s="12" t="inlineStr">
        <is>
          <t>Legitimite cognitive</t>
        </is>
      </c>
      <c r="C30" s="14">
        <f>COUNTIFS(Verbatims!$A$5:$A$407,C$4,Verbatims!$C$5:$C$407,$A30)</f>
        <v/>
      </c>
      <c r="D30" s="14">
        <f>COUNTIFS(Verbatims!$A$5:$A$407,D$4,Verbatims!$C$5:$C$407,$A30)</f>
        <v/>
      </c>
      <c r="E30" s="14">
        <f>COUNTIFS(Verbatims!$A$5:$A$407,E$4,Verbatims!$C$5:$C$407,$A30)</f>
        <v/>
      </c>
      <c r="F30" s="14">
        <f>COUNTIFS(Verbatims!$A$5:$A$407,F$4,Verbatims!$C$5:$C$407,$A30)</f>
        <v/>
      </c>
      <c r="G30" s="14">
        <f>COUNTIFS(Verbatims!$A$5:$A$407,G$4,Verbatims!$C$5:$C$407,$A30)</f>
        <v/>
      </c>
      <c r="H30" s="14">
        <f>COUNTIFS(Verbatims!$A$5:$A$407,H$4,Verbatims!$C$5:$C$407,$A30)</f>
        <v/>
      </c>
      <c r="I30" s="14">
        <f>COUNTIFS(Verbatims!$A$5:$A$407,I$4,Verbatims!$C$5:$C$407,$A30)</f>
        <v/>
      </c>
      <c r="J30" s="14">
        <f>COUNTIFS(Verbatims!$A$5:$A$407,J$4,Verbatims!$C$5:$C$407,$A30)</f>
        <v/>
      </c>
      <c r="K30" s="15">
        <f>SUM(C30:J30)</f>
        <v/>
      </c>
      <c r="L30" s="15">
        <f>COUNTIF(C30:J30,"&gt;0")</f>
        <v/>
      </c>
    </row>
    <row r="31" ht="15" customHeight="1">
      <c r="A31" s="11" t="inlineStr">
        <is>
          <t>C1.2</t>
        </is>
      </c>
      <c r="B31" s="12" t="inlineStr">
        <is>
          <t>Legitimite pragmatique</t>
        </is>
      </c>
      <c r="C31" s="14">
        <f>COUNTIFS(Verbatims!$A$5:$A$407,C$4,Verbatims!$C$5:$C$407,$A31)</f>
        <v/>
      </c>
      <c r="D31" s="14">
        <f>COUNTIFS(Verbatims!$A$5:$A$407,D$4,Verbatims!$C$5:$C$407,$A31)</f>
        <v/>
      </c>
      <c r="E31" s="14">
        <f>COUNTIFS(Verbatims!$A$5:$A$407,E$4,Verbatims!$C$5:$C$407,$A31)</f>
        <v/>
      </c>
      <c r="F31" s="14">
        <f>COUNTIFS(Verbatims!$A$5:$A$407,F$4,Verbatims!$C$5:$C$407,$A31)</f>
        <v/>
      </c>
      <c r="G31" s="14">
        <f>COUNTIFS(Verbatims!$A$5:$A$407,G$4,Verbatims!$C$5:$C$407,$A31)</f>
        <v/>
      </c>
      <c r="H31" s="14">
        <f>COUNTIFS(Verbatims!$A$5:$A$407,H$4,Verbatims!$C$5:$C$407,$A31)</f>
        <v/>
      </c>
      <c r="I31" s="14">
        <f>COUNTIFS(Verbatims!$A$5:$A$407,I$4,Verbatims!$C$5:$C$407,$A31)</f>
        <v/>
      </c>
      <c r="J31" s="14">
        <f>COUNTIFS(Verbatims!$A$5:$A$407,J$4,Verbatims!$C$5:$C$407,$A31)</f>
        <v/>
      </c>
      <c r="K31" s="15">
        <f>SUM(C31:J31)</f>
        <v/>
      </c>
      <c r="L31" s="15">
        <f>COUNTIF(C31:J31,"&gt;0")</f>
        <v/>
      </c>
    </row>
    <row r="32" ht="15" customHeight="1">
      <c r="A32" s="11" t="inlineStr">
        <is>
          <t>C1.3</t>
        </is>
      </c>
      <c r="B32" s="12" t="inlineStr">
        <is>
          <t>Legitimite morale</t>
        </is>
      </c>
      <c r="C32" s="14">
        <f>COUNTIFS(Verbatims!$A$5:$A$407,C$4,Verbatims!$C$5:$C$407,$A32)</f>
        <v/>
      </c>
      <c r="D32" s="14">
        <f>COUNTIFS(Verbatims!$A$5:$A$407,D$4,Verbatims!$C$5:$C$407,$A32)</f>
        <v/>
      </c>
      <c r="E32" s="14">
        <f>COUNTIFS(Verbatims!$A$5:$A$407,E$4,Verbatims!$C$5:$C$407,$A32)</f>
        <v/>
      </c>
      <c r="F32" s="14">
        <f>COUNTIFS(Verbatims!$A$5:$A$407,F$4,Verbatims!$C$5:$C$407,$A32)</f>
        <v/>
      </c>
      <c r="G32" s="14">
        <f>COUNTIFS(Verbatims!$A$5:$A$407,G$4,Verbatims!$C$5:$C$407,$A32)</f>
        <v/>
      </c>
      <c r="H32" s="14">
        <f>COUNTIFS(Verbatims!$A$5:$A$407,H$4,Verbatims!$C$5:$C$407,$A32)</f>
        <v/>
      </c>
      <c r="I32" s="14">
        <f>COUNTIFS(Verbatims!$A$5:$A$407,I$4,Verbatims!$C$5:$C$407,$A32)</f>
        <v/>
      </c>
      <c r="J32" s="14">
        <f>COUNTIFS(Verbatims!$A$5:$A$407,J$4,Verbatims!$C$5:$C$407,$A32)</f>
        <v/>
      </c>
      <c r="K32" s="15">
        <f>SUM(C32:J32)</f>
        <v/>
      </c>
      <c r="L32" s="15">
        <f>COUNTIF(C32:J32,"&gt;0")</f>
        <v/>
      </c>
    </row>
    <row r="33" ht="15" customHeight="1">
      <c r="A33" s="11" t="inlineStr">
        <is>
          <t>C2.1</t>
        </is>
      </c>
      <c r="B33" s="12" t="inlineStr">
        <is>
          <t>Transparence assumee</t>
        </is>
      </c>
      <c r="C33" s="14">
        <f>COUNTIFS(Verbatims!$A$5:$A$407,C$4,Verbatims!$C$5:$C$407,$A33)</f>
        <v/>
      </c>
      <c r="D33" s="14">
        <f>COUNTIFS(Verbatims!$A$5:$A$407,D$4,Verbatims!$C$5:$C$407,$A33)</f>
        <v/>
      </c>
      <c r="E33" s="14">
        <f>COUNTIFS(Verbatims!$A$5:$A$407,E$4,Verbatims!$C$5:$C$407,$A33)</f>
        <v/>
      </c>
      <c r="F33" s="14">
        <f>COUNTIFS(Verbatims!$A$5:$A$407,F$4,Verbatims!$C$5:$C$407,$A33)</f>
        <v/>
      </c>
      <c r="G33" s="14">
        <f>COUNTIFS(Verbatims!$A$5:$A$407,G$4,Verbatims!$C$5:$C$407,$A33)</f>
        <v/>
      </c>
      <c r="H33" s="14">
        <f>COUNTIFS(Verbatims!$A$5:$A$407,H$4,Verbatims!$C$5:$C$407,$A33)</f>
        <v/>
      </c>
      <c r="I33" s="14">
        <f>COUNTIFS(Verbatims!$A$5:$A$407,I$4,Verbatims!$C$5:$C$407,$A33)</f>
        <v/>
      </c>
      <c r="J33" s="14">
        <f>COUNTIFS(Verbatims!$A$5:$A$407,J$4,Verbatims!$C$5:$C$407,$A33)</f>
        <v/>
      </c>
      <c r="K33" s="15">
        <f>SUM(C33:J33)</f>
        <v/>
      </c>
      <c r="L33" s="15">
        <f>COUNTIF(C33:J33,"&gt;0")</f>
        <v/>
      </c>
    </row>
    <row r="34" ht="15" customHeight="1">
      <c r="A34" s="11" t="inlineStr">
        <is>
          <t>C2.2</t>
        </is>
      </c>
      <c r="B34" s="12" t="inlineStr">
        <is>
          <t>Opacite strategique</t>
        </is>
      </c>
      <c r="C34" s="14">
        <f>COUNTIFS(Verbatims!$A$5:$A$407,C$4,Verbatims!$C$5:$C$407,$A34)</f>
        <v/>
      </c>
      <c r="D34" s="14">
        <f>COUNTIFS(Verbatims!$A$5:$A$407,D$4,Verbatims!$C$5:$C$407,$A34)</f>
        <v/>
      </c>
      <c r="E34" s="14">
        <f>COUNTIFS(Verbatims!$A$5:$A$407,E$4,Verbatims!$C$5:$C$407,$A34)</f>
        <v/>
      </c>
      <c r="F34" s="14">
        <f>COUNTIFS(Verbatims!$A$5:$A$407,F$4,Verbatims!$C$5:$C$407,$A34)</f>
        <v/>
      </c>
      <c r="G34" s="14">
        <f>COUNTIFS(Verbatims!$A$5:$A$407,G$4,Verbatims!$C$5:$C$407,$A34)</f>
        <v/>
      </c>
      <c r="H34" s="14">
        <f>COUNTIFS(Verbatims!$A$5:$A$407,H$4,Verbatims!$C$5:$C$407,$A34)</f>
        <v/>
      </c>
      <c r="I34" s="14">
        <f>COUNTIFS(Verbatims!$A$5:$A$407,I$4,Verbatims!$C$5:$C$407,$A34)</f>
        <v/>
      </c>
      <c r="J34" s="14">
        <f>COUNTIFS(Verbatims!$A$5:$A$407,J$4,Verbatims!$C$5:$C$407,$A34)</f>
        <v/>
      </c>
      <c r="K34" s="15">
        <f>SUM(C34:J34)</f>
        <v/>
      </c>
      <c r="L34" s="15">
        <f>COUNTIF(C34:J34,"&gt;0")</f>
        <v/>
      </c>
    </row>
    <row r="35" ht="15" customHeight="1">
      <c r="A35" s="11" t="inlineStr">
        <is>
          <t>C2.3</t>
        </is>
      </c>
      <c r="B35" s="12" t="inlineStr">
        <is>
          <t>Interpellation par le client</t>
        </is>
      </c>
      <c r="C35" s="14">
        <f>COUNTIFS(Verbatims!$A$5:$A$407,C$4,Verbatims!$C$5:$C$407,$A35)</f>
        <v/>
      </c>
      <c r="D35" s="14">
        <f>COUNTIFS(Verbatims!$A$5:$A$407,D$4,Verbatims!$C$5:$C$407,$A35)</f>
        <v/>
      </c>
      <c r="E35" s="14">
        <f>COUNTIFS(Verbatims!$A$5:$A$407,E$4,Verbatims!$C$5:$C$407,$A35)</f>
        <v/>
      </c>
      <c r="F35" s="14">
        <f>COUNTIFS(Verbatims!$A$5:$A$407,F$4,Verbatims!$C$5:$C$407,$A35)</f>
        <v/>
      </c>
      <c r="G35" s="14">
        <f>COUNTIFS(Verbatims!$A$5:$A$407,G$4,Verbatims!$C$5:$C$407,$A35)</f>
        <v/>
      </c>
      <c r="H35" s="14">
        <f>COUNTIFS(Verbatims!$A$5:$A$407,H$4,Verbatims!$C$5:$C$407,$A35)</f>
        <v/>
      </c>
      <c r="I35" s="14">
        <f>COUNTIFS(Verbatims!$A$5:$A$407,I$4,Verbatims!$C$5:$C$407,$A35)</f>
        <v/>
      </c>
      <c r="J35" s="14">
        <f>COUNTIFS(Verbatims!$A$5:$A$407,J$4,Verbatims!$C$5:$C$407,$A35)</f>
        <v/>
      </c>
      <c r="K35" s="15">
        <f>SUM(C35:J35)</f>
        <v/>
      </c>
      <c r="L35" s="15">
        <f>COUNTIF(C35:J35,"&gt;0")</f>
        <v/>
      </c>
    </row>
    <row r="36" ht="15" customHeight="1">
      <c r="A36" s="11" t="inlineStr">
        <is>
          <t>C3.1</t>
        </is>
      </c>
      <c r="B36" s="12" t="inlineStr">
        <is>
          <t>Deplacement vers le jugement</t>
        </is>
      </c>
      <c r="C36" s="14">
        <f>COUNTIFS(Verbatims!$A$5:$A$407,C$4,Verbatims!$C$5:$C$407,$A36)</f>
        <v/>
      </c>
      <c r="D36" s="14">
        <f>COUNTIFS(Verbatims!$A$5:$A$407,D$4,Verbatims!$C$5:$C$407,$A36)</f>
        <v/>
      </c>
      <c r="E36" s="14">
        <f>COUNTIFS(Verbatims!$A$5:$A$407,E$4,Verbatims!$C$5:$C$407,$A36)</f>
        <v/>
      </c>
      <c r="F36" s="14">
        <f>COUNTIFS(Verbatims!$A$5:$A$407,F$4,Verbatims!$C$5:$C$407,$A36)</f>
        <v/>
      </c>
      <c r="G36" s="14">
        <f>COUNTIFS(Verbatims!$A$5:$A$407,G$4,Verbatims!$C$5:$C$407,$A36)</f>
        <v/>
      </c>
      <c r="H36" s="14">
        <f>COUNTIFS(Verbatims!$A$5:$A$407,H$4,Verbatims!$C$5:$C$407,$A36)</f>
        <v/>
      </c>
      <c r="I36" s="14">
        <f>COUNTIFS(Verbatims!$A$5:$A$407,I$4,Verbatims!$C$5:$C$407,$A36)</f>
        <v/>
      </c>
      <c r="J36" s="14">
        <f>COUNTIFS(Verbatims!$A$5:$A$407,J$4,Verbatims!$C$5:$C$407,$A36)</f>
        <v/>
      </c>
      <c r="K36" s="15">
        <f>SUM(C36:J36)</f>
        <v/>
      </c>
      <c r="L36" s="15">
        <f>COUNTIF(C36:J36,"&gt;0")</f>
        <v/>
      </c>
    </row>
    <row r="37" ht="15" customHeight="1">
      <c r="A37" s="11" t="inlineStr">
        <is>
          <t>C3.2</t>
        </is>
      </c>
      <c r="B37" s="12" t="inlineStr">
        <is>
          <t>Deplacement vers la responsabilite</t>
        </is>
      </c>
      <c r="C37" s="14">
        <f>COUNTIFS(Verbatims!$A$5:$A$407,C$4,Verbatims!$C$5:$C$407,$A37)</f>
        <v/>
      </c>
      <c r="D37" s="14">
        <f>COUNTIFS(Verbatims!$A$5:$A$407,D$4,Verbatims!$C$5:$C$407,$A37)</f>
        <v/>
      </c>
      <c r="E37" s="14">
        <f>COUNTIFS(Verbatims!$A$5:$A$407,E$4,Verbatims!$C$5:$C$407,$A37)</f>
        <v/>
      </c>
      <c r="F37" s="14">
        <f>COUNTIFS(Verbatims!$A$5:$A$407,F$4,Verbatims!$C$5:$C$407,$A37)</f>
        <v/>
      </c>
      <c r="G37" s="14">
        <f>COUNTIFS(Verbatims!$A$5:$A$407,G$4,Verbatims!$C$5:$C$407,$A37)</f>
        <v/>
      </c>
      <c r="H37" s="14">
        <f>COUNTIFS(Verbatims!$A$5:$A$407,H$4,Verbatims!$C$5:$C$407,$A37)</f>
        <v/>
      </c>
      <c r="I37" s="14">
        <f>COUNTIFS(Verbatims!$A$5:$A$407,I$4,Verbatims!$C$5:$C$407,$A37)</f>
        <v/>
      </c>
      <c r="J37" s="14">
        <f>COUNTIFS(Verbatims!$A$5:$A$407,J$4,Verbatims!$C$5:$C$407,$A37)</f>
        <v/>
      </c>
      <c r="K37" s="15">
        <f>SUM(C37:J37)</f>
        <v/>
      </c>
      <c r="L37" s="15">
        <f>COUNTIF(C37:J37,"&gt;0")</f>
        <v/>
      </c>
    </row>
    <row r="38" ht="15" customHeight="1">
      <c r="A38" s="11" t="inlineStr">
        <is>
          <t>C3.3</t>
        </is>
      </c>
      <c r="B38" s="12" t="inlineStr">
        <is>
          <t>Menace de desintermediation</t>
        </is>
      </c>
      <c r="C38" s="14">
        <f>COUNTIFS(Verbatims!$A$5:$A$407,C$4,Verbatims!$C$5:$C$407,$A38)</f>
        <v/>
      </c>
      <c r="D38" s="14">
        <f>COUNTIFS(Verbatims!$A$5:$A$407,D$4,Verbatims!$C$5:$C$407,$A38)</f>
        <v/>
      </c>
      <c r="E38" s="14">
        <f>COUNTIFS(Verbatims!$A$5:$A$407,E$4,Verbatims!$C$5:$C$407,$A38)</f>
        <v/>
      </c>
      <c r="F38" s="14">
        <f>COUNTIFS(Verbatims!$A$5:$A$407,F$4,Verbatims!$C$5:$C$407,$A38)</f>
        <v/>
      </c>
      <c r="G38" s="14">
        <f>COUNTIFS(Verbatims!$A$5:$A$407,G$4,Verbatims!$C$5:$C$407,$A38)</f>
        <v/>
      </c>
      <c r="H38" s="14">
        <f>COUNTIFS(Verbatims!$A$5:$A$407,H$4,Verbatims!$C$5:$C$407,$A38)</f>
        <v/>
      </c>
      <c r="I38" s="14">
        <f>COUNTIFS(Verbatims!$A$5:$A$407,I$4,Verbatims!$C$5:$C$407,$A38)</f>
        <v/>
      </c>
      <c r="J38" s="14">
        <f>COUNTIFS(Verbatims!$A$5:$A$407,J$4,Verbatims!$C$5:$C$407,$A38)</f>
        <v/>
      </c>
      <c r="K38" s="15">
        <f>SUM(C38:J38)</f>
        <v/>
      </c>
      <c r="L38" s="15">
        <f>COUNTIF(C38:J38,"&gt;0")</f>
        <v/>
      </c>
    </row>
    <row r="39" ht="15" customHeight="1">
      <c r="A39" s="11" t="inlineStr">
        <is>
          <t>C4.1</t>
        </is>
      </c>
      <c r="B39" s="12" t="inlineStr">
        <is>
          <t>Tension sur le modele tarifaire</t>
        </is>
      </c>
      <c r="C39" s="14">
        <f>COUNTIFS(Verbatims!$A$5:$A$407,C$4,Verbatims!$C$5:$C$407,$A39)</f>
        <v/>
      </c>
      <c r="D39" s="14">
        <f>COUNTIFS(Verbatims!$A$5:$A$407,D$4,Verbatims!$C$5:$C$407,$A39)</f>
        <v/>
      </c>
      <c r="E39" s="14">
        <f>COUNTIFS(Verbatims!$A$5:$A$407,E$4,Verbatims!$C$5:$C$407,$A39)</f>
        <v/>
      </c>
      <c r="F39" s="14">
        <f>COUNTIFS(Verbatims!$A$5:$A$407,F$4,Verbatims!$C$5:$C$407,$A39)</f>
        <v/>
      </c>
      <c r="G39" s="14">
        <f>COUNTIFS(Verbatims!$A$5:$A$407,G$4,Verbatims!$C$5:$C$407,$A39)</f>
        <v/>
      </c>
      <c r="H39" s="14">
        <f>COUNTIFS(Verbatims!$A$5:$A$407,H$4,Verbatims!$C$5:$C$407,$A39)</f>
        <v/>
      </c>
      <c r="I39" s="14">
        <f>COUNTIFS(Verbatims!$A$5:$A$407,I$4,Verbatims!$C$5:$C$407,$A39)</f>
        <v/>
      </c>
      <c r="J39" s="14">
        <f>COUNTIFS(Verbatims!$A$5:$A$407,J$4,Verbatims!$C$5:$C$407,$A39)</f>
        <v/>
      </c>
      <c r="K39" s="15">
        <f>SUM(C39:J39)</f>
        <v/>
      </c>
      <c r="L39" s="15">
        <f>COUNTIF(C39:J39,"&gt;0")</f>
        <v/>
      </c>
    </row>
    <row r="40" ht="15" customHeight="1">
      <c r="A40" s="11" t="inlineStr">
        <is>
          <t>D1.1</t>
        </is>
      </c>
      <c r="B40" s="12" t="inlineStr">
        <is>
          <t>Regle formelle connue</t>
        </is>
      </c>
      <c r="C40" s="14">
        <f>COUNTIFS(Verbatims!$A$5:$A$407,C$4,Verbatims!$C$5:$C$407,$A40)</f>
        <v/>
      </c>
      <c r="D40" s="14">
        <f>COUNTIFS(Verbatims!$A$5:$A$407,D$4,Verbatims!$C$5:$C$407,$A40)</f>
        <v/>
      </c>
      <c r="E40" s="14">
        <f>COUNTIFS(Verbatims!$A$5:$A$407,E$4,Verbatims!$C$5:$C$407,$A40)</f>
        <v/>
      </c>
      <c r="F40" s="14">
        <f>COUNTIFS(Verbatims!$A$5:$A$407,F$4,Verbatims!$C$5:$C$407,$A40)</f>
        <v/>
      </c>
      <c r="G40" s="14">
        <f>COUNTIFS(Verbatims!$A$5:$A$407,G$4,Verbatims!$C$5:$C$407,$A40)</f>
        <v/>
      </c>
      <c r="H40" s="14">
        <f>COUNTIFS(Verbatims!$A$5:$A$407,H$4,Verbatims!$C$5:$C$407,$A40)</f>
        <v/>
      </c>
      <c r="I40" s="14">
        <f>COUNTIFS(Verbatims!$A$5:$A$407,I$4,Verbatims!$C$5:$C$407,$A40)</f>
        <v/>
      </c>
      <c r="J40" s="14">
        <f>COUNTIFS(Verbatims!$A$5:$A$407,J$4,Verbatims!$C$5:$C$407,$A40)</f>
        <v/>
      </c>
      <c r="K40" s="15">
        <f>SUM(C40:J40)</f>
        <v/>
      </c>
      <c r="L40" s="15">
        <f>COUNTIF(C40:J40,"&gt;0")</f>
        <v/>
      </c>
    </row>
    <row r="41" ht="15" customHeight="1">
      <c r="A41" s="11" t="inlineStr">
        <is>
          <t>D1.2</t>
        </is>
      </c>
      <c r="B41" s="12" t="inlineStr">
        <is>
          <t>Norme informelle</t>
        </is>
      </c>
      <c r="C41" s="14">
        <f>COUNTIFS(Verbatims!$A$5:$A$407,C$4,Verbatims!$C$5:$C$407,$A41)</f>
        <v/>
      </c>
      <c r="D41" s="14">
        <f>COUNTIFS(Verbatims!$A$5:$A$407,D$4,Verbatims!$C$5:$C$407,$A41)</f>
        <v/>
      </c>
      <c r="E41" s="14">
        <f>COUNTIFS(Verbatims!$A$5:$A$407,E$4,Verbatims!$C$5:$C$407,$A41)</f>
        <v/>
      </c>
      <c r="F41" s="14">
        <f>COUNTIFS(Verbatims!$A$5:$A$407,F$4,Verbatims!$C$5:$C$407,$A41)</f>
        <v/>
      </c>
      <c r="G41" s="14">
        <f>COUNTIFS(Verbatims!$A$5:$A$407,G$4,Verbatims!$C$5:$C$407,$A41)</f>
        <v/>
      </c>
      <c r="H41" s="14">
        <f>COUNTIFS(Verbatims!$A$5:$A$407,H$4,Verbatims!$C$5:$C$407,$A41)</f>
        <v/>
      </c>
      <c r="I41" s="14">
        <f>COUNTIFS(Verbatims!$A$5:$A$407,I$4,Verbatims!$C$5:$C$407,$A41)</f>
        <v/>
      </c>
      <c r="J41" s="14">
        <f>COUNTIFS(Verbatims!$A$5:$A$407,J$4,Verbatims!$C$5:$C$407,$A41)</f>
        <v/>
      </c>
      <c r="K41" s="15">
        <f>SUM(C41:J41)</f>
        <v/>
      </c>
      <c r="L41" s="15">
        <f>COUNTIF(C41:J41,"&gt;0")</f>
        <v/>
      </c>
    </row>
    <row r="42" ht="15" customHeight="1">
      <c r="A42" s="11" t="inlineStr">
        <is>
          <t>D1.3</t>
        </is>
      </c>
      <c r="B42" s="12" t="inlineStr">
        <is>
          <t>Flou normatif</t>
        </is>
      </c>
      <c r="C42" s="14">
        <f>COUNTIFS(Verbatims!$A$5:$A$407,C$4,Verbatims!$C$5:$C$407,$A42)</f>
        <v/>
      </c>
      <c r="D42" s="14">
        <f>COUNTIFS(Verbatims!$A$5:$A$407,D$4,Verbatims!$C$5:$C$407,$A42)</f>
        <v/>
      </c>
      <c r="E42" s="14">
        <f>COUNTIFS(Verbatims!$A$5:$A$407,E$4,Verbatims!$C$5:$C$407,$A42)</f>
        <v/>
      </c>
      <c r="F42" s="14">
        <f>COUNTIFS(Verbatims!$A$5:$A$407,F$4,Verbatims!$C$5:$C$407,$A42)</f>
        <v/>
      </c>
      <c r="G42" s="14">
        <f>COUNTIFS(Verbatims!$A$5:$A$407,G$4,Verbatims!$C$5:$C$407,$A42)</f>
        <v/>
      </c>
      <c r="H42" s="14">
        <f>COUNTIFS(Verbatims!$A$5:$A$407,H$4,Verbatims!$C$5:$C$407,$A42)</f>
        <v/>
      </c>
      <c r="I42" s="14">
        <f>COUNTIFS(Verbatims!$A$5:$A$407,I$4,Verbatims!$C$5:$C$407,$A42)</f>
        <v/>
      </c>
      <c r="J42" s="14">
        <f>COUNTIFS(Verbatims!$A$5:$A$407,J$4,Verbatims!$C$5:$C$407,$A42)</f>
        <v/>
      </c>
      <c r="K42" s="15">
        <f>SUM(C42:J42)</f>
        <v/>
      </c>
      <c r="L42" s="15">
        <f>COUNTIF(C42:J42,"&gt;0")</f>
        <v/>
      </c>
    </row>
    <row r="43" ht="15" customHeight="1">
      <c r="A43" s="11" t="inlineStr">
        <is>
          <t>D2.1</t>
        </is>
      </c>
      <c r="B43" s="12" t="inlineStr">
        <is>
          <t>Revue hierarchique</t>
        </is>
      </c>
      <c r="C43" s="14">
        <f>COUNTIFS(Verbatims!$A$5:$A$407,C$4,Verbatims!$C$5:$C$407,$A43)</f>
        <v/>
      </c>
      <c r="D43" s="14">
        <f>COUNTIFS(Verbatims!$A$5:$A$407,D$4,Verbatims!$C$5:$C$407,$A43)</f>
        <v/>
      </c>
      <c r="E43" s="14">
        <f>COUNTIFS(Verbatims!$A$5:$A$407,E$4,Verbatims!$C$5:$C$407,$A43)</f>
        <v/>
      </c>
      <c r="F43" s="14">
        <f>COUNTIFS(Verbatims!$A$5:$A$407,F$4,Verbatims!$C$5:$C$407,$A43)</f>
        <v/>
      </c>
      <c r="G43" s="14">
        <f>COUNTIFS(Verbatims!$A$5:$A$407,G$4,Verbatims!$C$5:$C$407,$A43)</f>
        <v/>
      </c>
      <c r="H43" s="14">
        <f>COUNTIFS(Verbatims!$A$5:$A$407,H$4,Verbatims!$C$5:$C$407,$A43)</f>
        <v/>
      </c>
      <c r="I43" s="14">
        <f>COUNTIFS(Verbatims!$A$5:$A$407,I$4,Verbatims!$C$5:$C$407,$A43)</f>
        <v/>
      </c>
      <c r="J43" s="14">
        <f>COUNTIFS(Verbatims!$A$5:$A$407,J$4,Verbatims!$C$5:$C$407,$A43)</f>
        <v/>
      </c>
      <c r="K43" s="15">
        <f>SUM(C43:J43)</f>
        <v/>
      </c>
      <c r="L43" s="15">
        <f>COUNTIF(C43:J43,"&gt;0")</f>
        <v/>
      </c>
    </row>
    <row r="44" ht="15" customHeight="1">
      <c r="A44" s="11" t="inlineStr">
        <is>
          <t>D2.2</t>
        </is>
      </c>
      <c r="B44" s="12" t="inlineStr">
        <is>
          <t>Verification des sources</t>
        </is>
      </c>
      <c r="C44" s="14">
        <f>COUNTIFS(Verbatims!$A$5:$A$407,C$4,Verbatims!$C$5:$C$407,$A44)</f>
        <v/>
      </c>
      <c r="D44" s="14">
        <f>COUNTIFS(Verbatims!$A$5:$A$407,D$4,Verbatims!$C$5:$C$407,$A44)</f>
        <v/>
      </c>
      <c r="E44" s="14">
        <f>COUNTIFS(Verbatims!$A$5:$A$407,E$4,Verbatims!$C$5:$C$407,$A44)</f>
        <v/>
      </c>
      <c r="F44" s="14">
        <f>COUNTIFS(Verbatims!$A$5:$A$407,F$4,Verbatims!$C$5:$C$407,$A44)</f>
        <v/>
      </c>
      <c r="G44" s="14">
        <f>COUNTIFS(Verbatims!$A$5:$A$407,G$4,Verbatims!$C$5:$C$407,$A44)</f>
        <v/>
      </c>
      <c r="H44" s="14">
        <f>COUNTIFS(Verbatims!$A$5:$A$407,H$4,Verbatims!$C$5:$C$407,$A44)</f>
        <v/>
      </c>
      <c r="I44" s="14">
        <f>COUNTIFS(Verbatims!$A$5:$A$407,I$4,Verbatims!$C$5:$C$407,$A44)</f>
        <v/>
      </c>
      <c r="J44" s="14">
        <f>COUNTIFS(Verbatims!$A$5:$A$407,J$4,Verbatims!$C$5:$C$407,$A44)</f>
        <v/>
      </c>
      <c r="K44" s="15">
        <f>SUM(C44:J44)</f>
        <v/>
      </c>
      <c r="L44" s="15">
        <f>COUNTIF(C44:J44,"&gt;0")</f>
        <v/>
      </c>
    </row>
    <row r="45" ht="15" customHeight="1">
      <c r="A45" s="11" t="inlineStr">
        <is>
          <t>D2.3</t>
        </is>
      </c>
      <c r="B45" s="12" t="inlineStr">
        <is>
          <t>Absence de controle dedie</t>
        </is>
      </c>
      <c r="C45" s="14">
        <f>COUNTIFS(Verbatims!$A$5:$A$407,C$4,Verbatims!$C$5:$C$407,$A45)</f>
        <v/>
      </c>
      <c r="D45" s="14">
        <f>COUNTIFS(Verbatims!$A$5:$A$407,D$4,Verbatims!$C$5:$C$407,$A45)</f>
        <v/>
      </c>
      <c r="E45" s="14">
        <f>COUNTIFS(Verbatims!$A$5:$A$407,E$4,Verbatims!$C$5:$C$407,$A45)</f>
        <v/>
      </c>
      <c r="F45" s="14">
        <f>COUNTIFS(Verbatims!$A$5:$A$407,F$4,Verbatims!$C$5:$C$407,$A45)</f>
        <v/>
      </c>
      <c r="G45" s="14">
        <f>COUNTIFS(Verbatims!$A$5:$A$407,G$4,Verbatims!$C$5:$C$407,$A45)</f>
        <v/>
      </c>
      <c r="H45" s="14">
        <f>COUNTIFS(Verbatims!$A$5:$A$407,H$4,Verbatims!$C$5:$C$407,$A45)</f>
        <v/>
      </c>
      <c r="I45" s="14">
        <f>COUNTIFS(Verbatims!$A$5:$A$407,I$4,Verbatims!$C$5:$C$407,$A45)</f>
        <v/>
      </c>
      <c r="J45" s="14">
        <f>COUNTIFS(Verbatims!$A$5:$A$407,J$4,Verbatims!$C$5:$C$407,$A45)</f>
        <v/>
      </c>
      <c r="K45" s="15">
        <f>SUM(C45:J45)</f>
        <v/>
      </c>
      <c r="L45" s="15">
        <f>COUNTIF(C45:J45,"&gt;0")</f>
        <v/>
      </c>
    </row>
    <row r="46" ht="15" customHeight="1">
      <c r="A46" s="11" t="inlineStr">
        <is>
          <t>D3.1</t>
        </is>
      </c>
      <c r="B46" s="12" t="inlineStr">
        <is>
          <t>Hallucination detectee</t>
        </is>
      </c>
      <c r="C46" s="14">
        <f>COUNTIFS(Verbatims!$A$5:$A$407,C$4,Verbatims!$C$5:$C$407,$A46)</f>
        <v/>
      </c>
      <c r="D46" s="14">
        <f>COUNTIFS(Verbatims!$A$5:$A$407,D$4,Verbatims!$C$5:$C$407,$A46)</f>
        <v/>
      </c>
      <c r="E46" s="14">
        <f>COUNTIFS(Verbatims!$A$5:$A$407,E$4,Verbatims!$C$5:$C$407,$A46)</f>
        <v/>
      </c>
      <c r="F46" s="14">
        <f>COUNTIFS(Verbatims!$A$5:$A$407,F$4,Verbatims!$C$5:$C$407,$A46)</f>
        <v/>
      </c>
      <c r="G46" s="14">
        <f>COUNTIFS(Verbatims!$A$5:$A$407,G$4,Verbatims!$C$5:$C$407,$A46)</f>
        <v/>
      </c>
      <c r="H46" s="14">
        <f>COUNTIFS(Verbatims!$A$5:$A$407,H$4,Verbatims!$C$5:$C$407,$A46)</f>
        <v/>
      </c>
      <c r="I46" s="14">
        <f>COUNTIFS(Verbatims!$A$5:$A$407,I$4,Verbatims!$C$5:$C$407,$A46)</f>
        <v/>
      </c>
      <c r="J46" s="14">
        <f>COUNTIFS(Verbatims!$A$5:$A$407,J$4,Verbatims!$C$5:$C$407,$A46)</f>
        <v/>
      </c>
      <c r="K46" s="15">
        <f>SUM(C46:J46)</f>
        <v/>
      </c>
      <c r="L46" s="15">
        <f>COUNTIF(C46:J46,"&gt;0")</f>
        <v/>
      </c>
    </row>
    <row r="47" ht="15" customHeight="1">
      <c r="A47" s="11" t="inlineStr">
        <is>
          <t>D3.2</t>
        </is>
      </c>
      <c r="B47" s="12" t="inlineStr">
        <is>
          <t>Quasi-incident</t>
        </is>
      </c>
      <c r="C47" s="14">
        <f>COUNTIFS(Verbatims!$A$5:$A$407,C$4,Verbatims!$C$5:$C$407,$A47)</f>
        <v/>
      </c>
      <c r="D47" s="14">
        <f>COUNTIFS(Verbatims!$A$5:$A$407,D$4,Verbatims!$C$5:$C$407,$A47)</f>
        <v/>
      </c>
      <c r="E47" s="14">
        <f>COUNTIFS(Verbatims!$A$5:$A$407,E$4,Verbatims!$C$5:$C$407,$A47)</f>
        <v/>
      </c>
      <c r="F47" s="14">
        <f>COUNTIFS(Verbatims!$A$5:$A$407,F$4,Verbatims!$C$5:$C$407,$A47)</f>
        <v/>
      </c>
      <c r="G47" s="14">
        <f>COUNTIFS(Verbatims!$A$5:$A$407,G$4,Verbatims!$C$5:$C$407,$A47)</f>
        <v/>
      </c>
      <c r="H47" s="14">
        <f>COUNTIFS(Verbatims!$A$5:$A$407,H$4,Verbatims!$C$5:$C$407,$A47)</f>
        <v/>
      </c>
      <c r="I47" s="14">
        <f>COUNTIFS(Verbatims!$A$5:$A$407,I$4,Verbatims!$C$5:$C$407,$A47)</f>
        <v/>
      </c>
      <c r="J47" s="14">
        <f>COUNTIFS(Verbatims!$A$5:$A$407,J$4,Verbatims!$C$5:$C$407,$A47)</f>
        <v/>
      </c>
      <c r="K47" s="15">
        <f>SUM(C47:J47)</f>
        <v/>
      </c>
      <c r="L47" s="15">
        <f>COUNTIF(C47:J47,"&gt;0")</f>
        <v/>
      </c>
    </row>
    <row r="48" ht="15" customHeight="1">
      <c r="A48" s="11" t="inlineStr">
        <is>
          <t>D3.3</t>
        </is>
      </c>
      <c r="B48" s="12" t="inlineStr">
        <is>
          <t>Enjeu de confidentialite</t>
        </is>
      </c>
      <c r="C48" s="14">
        <f>COUNTIFS(Verbatims!$A$5:$A$407,C$4,Verbatims!$C$5:$C$407,$A48)</f>
        <v/>
      </c>
      <c r="D48" s="14">
        <f>COUNTIFS(Verbatims!$A$5:$A$407,D$4,Verbatims!$C$5:$C$407,$A48)</f>
        <v/>
      </c>
      <c r="E48" s="14">
        <f>COUNTIFS(Verbatims!$A$5:$A$407,E$4,Verbatims!$C$5:$C$407,$A48)</f>
        <v/>
      </c>
      <c r="F48" s="14">
        <f>COUNTIFS(Verbatims!$A$5:$A$407,F$4,Verbatims!$C$5:$C$407,$A48)</f>
        <v/>
      </c>
      <c r="G48" s="14">
        <f>COUNTIFS(Verbatims!$A$5:$A$407,G$4,Verbatims!$C$5:$C$407,$A48)</f>
        <v/>
      </c>
      <c r="H48" s="14">
        <f>COUNTIFS(Verbatims!$A$5:$A$407,H$4,Verbatims!$C$5:$C$407,$A48)</f>
        <v/>
      </c>
      <c r="I48" s="14">
        <f>COUNTIFS(Verbatims!$A$5:$A$407,I$4,Verbatims!$C$5:$C$407,$A48)</f>
        <v/>
      </c>
      <c r="J48" s="14">
        <f>COUNTIFS(Verbatims!$A$5:$A$407,J$4,Verbatims!$C$5:$C$407,$A48)</f>
        <v/>
      </c>
      <c r="K48" s="15">
        <f>SUM(C48:J48)</f>
        <v/>
      </c>
      <c r="L48" s="15">
        <f>COUNTIF(C48:J48,"&gt;0")</f>
        <v/>
      </c>
    </row>
    <row r="49" ht="15" customHeight="1">
      <c r="A49" s="11" t="inlineStr">
        <is>
          <t>D4.1</t>
        </is>
      </c>
      <c r="B49" s="12" t="inlineStr">
        <is>
          <t>Attribution de responsabilite</t>
        </is>
      </c>
      <c r="C49" s="14">
        <f>COUNTIFS(Verbatims!$A$5:$A$407,C$4,Verbatims!$C$5:$C$407,$A49)</f>
        <v/>
      </c>
      <c r="D49" s="14">
        <f>COUNTIFS(Verbatims!$A$5:$A$407,D$4,Verbatims!$C$5:$C$407,$A49)</f>
        <v/>
      </c>
      <c r="E49" s="14">
        <f>COUNTIFS(Verbatims!$A$5:$A$407,E$4,Verbatims!$C$5:$C$407,$A49)</f>
        <v/>
      </c>
      <c r="F49" s="14">
        <f>COUNTIFS(Verbatims!$A$5:$A$407,F$4,Verbatims!$C$5:$C$407,$A49)</f>
        <v/>
      </c>
      <c r="G49" s="14">
        <f>COUNTIFS(Verbatims!$A$5:$A$407,G$4,Verbatims!$C$5:$C$407,$A49)</f>
        <v/>
      </c>
      <c r="H49" s="14">
        <f>COUNTIFS(Verbatims!$A$5:$A$407,H$4,Verbatims!$C$5:$C$407,$A49)</f>
        <v/>
      </c>
      <c r="I49" s="14">
        <f>COUNTIFS(Verbatims!$A$5:$A$407,I$4,Verbatims!$C$5:$C$407,$A49)</f>
        <v/>
      </c>
      <c r="J49" s="14">
        <f>COUNTIFS(Verbatims!$A$5:$A$407,J$4,Verbatims!$C$5:$C$407,$A49)</f>
        <v/>
      </c>
      <c r="K49" s="15">
        <f>SUM(C49:J49)</f>
        <v/>
      </c>
      <c r="L49" s="15">
        <f>COUNTIF(C49:J49,"&gt;0")</f>
        <v/>
      </c>
    </row>
    <row r="50" ht="15" customHeight="1">
      <c r="A50" s="11" t="inlineStr">
        <is>
          <t>D5.1</t>
        </is>
      </c>
      <c r="B50" s="12" t="inlineStr">
        <is>
          <t>Regle percue comme bridante</t>
        </is>
      </c>
      <c r="C50" s="14">
        <f>COUNTIFS(Verbatims!$A$5:$A$407,C$4,Verbatims!$C$5:$C$407,$A50)</f>
        <v/>
      </c>
      <c r="D50" s="14">
        <f>COUNTIFS(Verbatims!$A$5:$A$407,D$4,Verbatims!$C$5:$C$407,$A50)</f>
        <v/>
      </c>
      <c r="E50" s="14">
        <f>COUNTIFS(Verbatims!$A$5:$A$407,E$4,Verbatims!$C$5:$C$407,$A50)</f>
        <v/>
      </c>
      <c r="F50" s="14">
        <f>COUNTIFS(Verbatims!$A$5:$A$407,F$4,Verbatims!$C$5:$C$407,$A50)</f>
        <v/>
      </c>
      <c r="G50" s="14">
        <f>COUNTIFS(Verbatims!$A$5:$A$407,G$4,Verbatims!$C$5:$C$407,$A50)</f>
        <v/>
      </c>
      <c r="H50" s="14">
        <f>COUNTIFS(Verbatims!$A$5:$A$407,H$4,Verbatims!$C$5:$C$407,$A50)</f>
        <v/>
      </c>
      <c r="I50" s="14">
        <f>COUNTIFS(Verbatims!$A$5:$A$407,I$4,Verbatims!$C$5:$C$407,$A50)</f>
        <v/>
      </c>
      <c r="J50" s="14">
        <f>COUNTIFS(Verbatims!$A$5:$A$407,J$4,Verbatims!$C$5:$C$407,$A50)</f>
        <v/>
      </c>
      <c r="K50" s="15">
        <f>SUM(C50:J50)</f>
        <v/>
      </c>
      <c r="L50" s="15">
        <f>COUNTIF(C50:J50,"&gt;0")</f>
        <v/>
      </c>
    </row>
    <row r="51" ht="15" customHeight="1">
      <c r="A51" s="11" t="inlineStr">
        <is>
          <t>D5.2</t>
        </is>
      </c>
      <c r="B51" s="12" t="inlineStr">
        <is>
          <t>Demande de cadrage</t>
        </is>
      </c>
      <c r="C51" s="14">
        <f>COUNTIFS(Verbatims!$A$5:$A$407,C$4,Verbatims!$C$5:$C$407,$A51)</f>
        <v/>
      </c>
      <c r="D51" s="14">
        <f>COUNTIFS(Verbatims!$A$5:$A$407,D$4,Verbatims!$C$5:$C$407,$A51)</f>
        <v/>
      </c>
      <c r="E51" s="14">
        <f>COUNTIFS(Verbatims!$A$5:$A$407,E$4,Verbatims!$C$5:$C$407,$A51)</f>
        <v/>
      </c>
      <c r="F51" s="14">
        <f>COUNTIFS(Verbatims!$A$5:$A$407,F$4,Verbatims!$C$5:$C$407,$A51)</f>
        <v/>
      </c>
      <c r="G51" s="14">
        <f>COUNTIFS(Verbatims!$A$5:$A$407,G$4,Verbatims!$C$5:$C$407,$A51)</f>
        <v/>
      </c>
      <c r="H51" s="14">
        <f>COUNTIFS(Verbatims!$A$5:$A$407,H$4,Verbatims!$C$5:$C$407,$A51)</f>
        <v/>
      </c>
      <c r="I51" s="14">
        <f>COUNTIFS(Verbatims!$A$5:$A$407,I$4,Verbatims!$C$5:$C$407,$A51)</f>
        <v/>
      </c>
      <c r="J51" s="14">
        <f>COUNTIFS(Verbatims!$A$5:$A$407,J$4,Verbatims!$C$5:$C$407,$A51)</f>
        <v/>
      </c>
      <c r="K51" s="15">
        <f>SUM(C51:J51)</f>
        <v/>
      </c>
      <c r="L51" s="15">
        <f>COUNTIF(C51:J51,"&gt;0")</f>
        <v/>
      </c>
    </row>
    <row r="52" ht="15" customHeight="1">
      <c r="A52" s="11" t="inlineStr">
        <is>
          <t>T1.1</t>
        </is>
      </c>
      <c r="B52" s="12" t="inlineStr">
        <is>
          <t>Ecart discours-pratique</t>
        </is>
      </c>
      <c r="C52" s="14">
        <f>COUNTIFS(Verbatims!$A$5:$A$407,C$4,Verbatims!$C$5:$C$407,$A52)</f>
        <v/>
      </c>
      <c r="D52" s="14">
        <f>COUNTIFS(Verbatims!$A$5:$A$407,D$4,Verbatims!$C$5:$C$407,$A52)</f>
        <v/>
      </c>
      <c r="E52" s="14">
        <f>COUNTIFS(Verbatims!$A$5:$A$407,E$4,Verbatims!$C$5:$C$407,$A52)</f>
        <v/>
      </c>
      <c r="F52" s="14">
        <f>COUNTIFS(Verbatims!$A$5:$A$407,F$4,Verbatims!$C$5:$C$407,$A52)</f>
        <v/>
      </c>
      <c r="G52" s="14">
        <f>COUNTIFS(Verbatims!$A$5:$A$407,G$4,Verbatims!$C$5:$C$407,$A52)</f>
        <v/>
      </c>
      <c r="H52" s="14">
        <f>COUNTIFS(Verbatims!$A$5:$A$407,H$4,Verbatims!$C$5:$C$407,$A52)</f>
        <v/>
      </c>
      <c r="I52" s="14">
        <f>COUNTIFS(Verbatims!$A$5:$A$407,I$4,Verbatims!$C$5:$C$407,$A52)</f>
        <v/>
      </c>
      <c r="J52" s="14">
        <f>COUNTIFS(Verbatims!$A$5:$A$407,J$4,Verbatims!$C$5:$C$407,$A52)</f>
        <v/>
      </c>
      <c r="K52" s="15">
        <f>SUM(C52:J52)</f>
        <v/>
      </c>
      <c r="L52" s="15">
        <f>COUNTIF(C52:J52,"&gt;0")</f>
        <v/>
      </c>
    </row>
    <row r="53" ht="15" customHeight="1">
      <c r="A53" s="11" t="inlineStr">
        <is>
          <t>T1.2</t>
        </is>
      </c>
      <c r="B53" s="12" t="inlineStr">
        <is>
          <t>Ecart junior-manager</t>
        </is>
      </c>
      <c r="C53" s="14">
        <f>COUNTIFS(Verbatims!$A$5:$A$407,C$4,Verbatims!$C$5:$C$407,$A53)</f>
        <v/>
      </c>
      <c r="D53" s="14">
        <f>COUNTIFS(Verbatims!$A$5:$A$407,D$4,Verbatims!$C$5:$C$407,$A53)</f>
        <v/>
      </c>
      <c r="E53" s="14">
        <f>COUNTIFS(Verbatims!$A$5:$A$407,E$4,Verbatims!$C$5:$C$407,$A53)</f>
        <v/>
      </c>
      <c r="F53" s="14">
        <f>COUNTIFS(Verbatims!$A$5:$A$407,F$4,Verbatims!$C$5:$C$407,$A53)</f>
        <v/>
      </c>
      <c r="G53" s="14">
        <f>COUNTIFS(Verbatims!$A$5:$A$407,G$4,Verbatims!$C$5:$C$407,$A53)</f>
        <v/>
      </c>
      <c r="H53" s="14">
        <f>COUNTIFS(Verbatims!$A$5:$A$407,H$4,Verbatims!$C$5:$C$407,$A53)</f>
        <v/>
      </c>
      <c r="I53" s="14">
        <f>COUNTIFS(Verbatims!$A$5:$A$407,I$4,Verbatims!$C$5:$C$407,$A53)</f>
        <v/>
      </c>
      <c r="J53" s="14">
        <f>COUNTIFS(Verbatims!$A$5:$A$407,J$4,Verbatims!$C$5:$C$407,$A53)</f>
        <v/>
      </c>
      <c r="K53" s="15">
        <f>SUM(C53:J53)</f>
        <v/>
      </c>
      <c r="L53" s="15">
        <f>COUNTIF(C53:J53,"&gt;0")</f>
        <v/>
      </c>
    </row>
    <row r="54" ht="15" customHeight="1">
      <c r="A54" s="11" t="inlineStr">
        <is>
          <t>T2.1</t>
        </is>
      </c>
      <c r="B54" s="12" t="inlineStr">
        <is>
          <t>Prospective du metier</t>
        </is>
      </c>
      <c r="C54" s="14">
        <f>COUNTIFS(Verbatims!$A$5:$A$407,C$4,Verbatims!$C$5:$C$407,$A54)</f>
        <v/>
      </c>
      <c r="D54" s="14">
        <f>COUNTIFS(Verbatims!$A$5:$A$407,D$4,Verbatims!$C$5:$C$407,$A54)</f>
        <v/>
      </c>
      <c r="E54" s="14">
        <f>COUNTIFS(Verbatims!$A$5:$A$407,E$4,Verbatims!$C$5:$C$407,$A54)</f>
        <v/>
      </c>
      <c r="F54" s="14">
        <f>COUNTIFS(Verbatims!$A$5:$A$407,F$4,Verbatims!$C$5:$C$407,$A54)</f>
        <v/>
      </c>
      <c r="G54" s="14">
        <f>COUNTIFS(Verbatims!$A$5:$A$407,G$4,Verbatims!$C$5:$C$407,$A54)</f>
        <v/>
      </c>
      <c r="H54" s="14">
        <f>COUNTIFS(Verbatims!$A$5:$A$407,H$4,Verbatims!$C$5:$C$407,$A54)</f>
        <v/>
      </c>
      <c r="I54" s="14">
        <f>COUNTIFS(Verbatims!$A$5:$A$407,I$4,Verbatims!$C$5:$C$407,$A54)</f>
        <v/>
      </c>
      <c r="J54" s="14">
        <f>COUNTIFS(Verbatims!$A$5:$A$407,J$4,Verbatims!$C$5:$C$407,$A54)</f>
        <v/>
      </c>
      <c r="K54" s="15">
        <f>SUM(C54:J54)</f>
        <v/>
      </c>
      <c r="L54" s="15">
        <f>COUNTIF(C54:J54,"&gt;0")</f>
        <v/>
      </c>
    </row>
    <row r="55" ht="15" customHeight="1">
      <c r="A55" s="11" t="inlineStr">
        <is>
          <t>T2.2</t>
        </is>
      </c>
      <c r="B55" s="12" t="inlineStr">
        <is>
          <t>Recommandation spontanee</t>
        </is>
      </c>
      <c r="C55" s="14">
        <f>COUNTIFS(Verbatims!$A$5:$A$407,C$4,Verbatims!$C$5:$C$407,$A55)</f>
        <v/>
      </c>
      <c r="D55" s="14">
        <f>COUNTIFS(Verbatims!$A$5:$A$407,D$4,Verbatims!$C$5:$C$407,$A55)</f>
        <v/>
      </c>
      <c r="E55" s="14">
        <f>COUNTIFS(Verbatims!$A$5:$A$407,E$4,Verbatims!$C$5:$C$407,$A55)</f>
        <v/>
      </c>
      <c r="F55" s="14">
        <f>COUNTIFS(Verbatims!$A$5:$A$407,F$4,Verbatims!$C$5:$C$407,$A55)</f>
        <v/>
      </c>
      <c r="G55" s="14">
        <f>COUNTIFS(Verbatims!$A$5:$A$407,G$4,Verbatims!$C$5:$C$407,$A55)</f>
        <v/>
      </c>
      <c r="H55" s="14">
        <f>COUNTIFS(Verbatims!$A$5:$A$407,H$4,Verbatims!$C$5:$C$407,$A55)</f>
        <v/>
      </c>
      <c r="I55" s="14">
        <f>COUNTIFS(Verbatims!$A$5:$A$407,I$4,Verbatims!$C$5:$C$407,$A55)</f>
        <v/>
      </c>
      <c r="J55" s="14">
        <f>COUNTIFS(Verbatims!$A$5:$A$407,J$4,Verbatims!$C$5:$C$407,$A55)</f>
        <v/>
      </c>
      <c r="K55" s="15">
        <f>SUM(C55:J55)</f>
        <v/>
      </c>
      <c r="L55" s="15">
        <f>COUNTIF(C55:J55,"&gt;0")</f>
        <v/>
      </c>
    </row>
    <row r="56" ht="15" customHeight="1">
      <c r="A56" s="11" t="inlineStr">
        <is>
          <t>T3.1</t>
        </is>
      </c>
      <c r="B56" s="12" t="inlineStr">
        <is>
          <t>Code emergent 1</t>
        </is>
      </c>
      <c r="C56" s="14">
        <f>COUNTIFS(Verbatims!$A$5:$A$407,C$4,Verbatims!$C$5:$C$407,$A56)</f>
        <v/>
      </c>
      <c r="D56" s="14">
        <f>COUNTIFS(Verbatims!$A$5:$A$407,D$4,Verbatims!$C$5:$C$407,$A56)</f>
        <v/>
      </c>
      <c r="E56" s="14">
        <f>COUNTIFS(Verbatims!$A$5:$A$407,E$4,Verbatims!$C$5:$C$407,$A56)</f>
        <v/>
      </c>
      <c r="F56" s="14">
        <f>COUNTIFS(Verbatims!$A$5:$A$407,F$4,Verbatims!$C$5:$C$407,$A56)</f>
        <v/>
      </c>
      <c r="G56" s="14">
        <f>COUNTIFS(Verbatims!$A$5:$A$407,G$4,Verbatims!$C$5:$C$407,$A56)</f>
        <v/>
      </c>
      <c r="H56" s="14">
        <f>COUNTIFS(Verbatims!$A$5:$A$407,H$4,Verbatims!$C$5:$C$407,$A56)</f>
        <v/>
      </c>
      <c r="I56" s="14">
        <f>COUNTIFS(Verbatims!$A$5:$A$407,I$4,Verbatims!$C$5:$C$407,$A56)</f>
        <v/>
      </c>
      <c r="J56" s="14">
        <f>COUNTIFS(Verbatims!$A$5:$A$407,J$4,Verbatims!$C$5:$C$407,$A56)</f>
        <v/>
      </c>
      <c r="K56" s="15">
        <f>SUM(C56:J56)</f>
        <v/>
      </c>
      <c r="L56" s="15">
        <f>COUNTIF(C56:J56,"&gt;0")</f>
        <v/>
      </c>
    </row>
    <row r="57" ht="15" customHeight="1">
      <c r="A57" s="11" t="inlineStr">
        <is>
          <t>T3.2</t>
        </is>
      </c>
      <c r="B57" s="12" t="inlineStr">
        <is>
          <t>Code emergent 2</t>
        </is>
      </c>
      <c r="C57" s="14">
        <f>COUNTIFS(Verbatims!$A$5:$A$407,C$4,Verbatims!$C$5:$C$407,$A57)</f>
        <v/>
      </c>
      <c r="D57" s="14">
        <f>COUNTIFS(Verbatims!$A$5:$A$407,D$4,Verbatims!$C$5:$C$407,$A57)</f>
        <v/>
      </c>
      <c r="E57" s="14">
        <f>COUNTIFS(Verbatims!$A$5:$A$407,E$4,Verbatims!$C$5:$C$407,$A57)</f>
        <v/>
      </c>
      <c r="F57" s="14">
        <f>COUNTIFS(Verbatims!$A$5:$A$407,F$4,Verbatims!$C$5:$C$407,$A57)</f>
        <v/>
      </c>
      <c r="G57" s="14">
        <f>COUNTIFS(Verbatims!$A$5:$A$407,G$4,Verbatims!$C$5:$C$407,$A57)</f>
        <v/>
      </c>
      <c r="H57" s="14">
        <f>COUNTIFS(Verbatims!$A$5:$A$407,H$4,Verbatims!$C$5:$C$407,$A57)</f>
        <v/>
      </c>
      <c r="I57" s="14">
        <f>COUNTIFS(Verbatims!$A$5:$A$407,I$4,Verbatims!$C$5:$C$407,$A57)</f>
        <v/>
      </c>
      <c r="J57" s="14">
        <f>COUNTIFS(Verbatims!$A$5:$A$407,J$4,Verbatims!$C$5:$C$407,$A57)</f>
        <v/>
      </c>
      <c r="K57" s="15">
        <f>SUM(C57:J57)</f>
        <v/>
      </c>
      <c r="L57" s="15">
        <f>COUNTIF(C57:J57,"&gt;0")</f>
        <v/>
      </c>
    </row>
    <row r="58" ht="15" customHeight="1">
      <c r="A58" s="11" t="inlineStr">
        <is>
          <t>T3.3</t>
        </is>
      </c>
      <c r="B58" s="12" t="inlineStr">
        <is>
          <t>Code emergent 3</t>
        </is>
      </c>
      <c r="C58" s="14">
        <f>COUNTIFS(Verbatims!$A$5:$A$407,C$4,Verbatims!$C$5:$C$407,$A58)</f>
        <v/>
      </c>
      <c r="D58" s="14">
        <f>COUNTIFS(Verbatims!$A$5:$A$407,D$4,Verbatims!$C$5:$C$407,$A58)</f>
        <v/>
      </c>
      <c r="E58" s="14">
        <f>COUNTIFS(Verbatims!$A$5:$A$407,E$4,Verbatims!$C$5:$C$407,$A58)</f>
        <v/>
      </c>
      <c r="F58" s="14">
        <f>COUNTIFS(Verbatims!$A$5:$A$407,F$4,Verbatims!$C$5:$C$407,$A58)</f>
        <v/>
      </c>
      <c r="G58" s="14">
        <f>COUNTIFS(Verbatims!$A$5:$A$407,G$4,Verbatims!$C$5:$C$407,$A58)</f>
        <v/>
      </c>
      <c r="H58" s="14">
        <f>COUNTIFS(Verbatims!$A$5:$A$407,H$4,Verbatims!$C$5:$C$407,$A58)</f>
        <v/>
      </c>
      <c r="I58" s="14">
        <f>COUNTIFS(Verbatims!$A$5:$A$407,I$4,Verbatims!$C$5:$C$407,$A58)</f>
        <v/>
      </c>
      <c r="J58" s="14">
        <f>COUNTIFS(Verbatims!$A$5:$A$407,J$4,Verbatims!$C$5:$C$407,$A58)</f>
        <v/>
      </c>
      <c r="K58" s="15">
        <f>SUM(C58:J58)</f>
        <v/>
      </c>
      <c r="L58" s="15">
        <f>COUNTIF(C58:J58,"&gt;0")</f>
        <v/>
      </c>
    </row>
    <row r="60" ht="15" customHeight="1">
      <c r="B60" s="4" t="inlineStr">
        <is>
          <t>Total des segments codes</t>
        </is>
      </c>
      <c r="C60" s="16">
        <f>SUM(C5:C58)</f>
        <v/>
      </c>
      <c r="D60" s="16">
        <f>SUM(D5:D58)</f>
        <v/>
      </c>
      <c r="E60" s="16">
        <f>SUM(E5:E58)</f>
        <v/>
      </c>
      <c r="F60" s="16">
        <f>SUM(F5:F58)</f>
        <v/>
      </c>
      <c r="G60" s="16">
        <f>SUM(G5:G58)</f>
        <v/>
      </c>
      <c r="H60" s="16">
        <f>SUM(H5:H58)</f>
        <v/>
      </c>
      <c r="I60" s="16">
        <f>SUM(I5:I58)</f>
        <v/>
      </c>
      <c r="J60" s="16">
        <f>SUM(J5:J58)</f>
        <v/>
      </c>
      <c r="K60" s="16">
        <f>SUM(K5:K58)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zoomScaleNormal="100" workbookViewId="0">
      <pane ySplit="4" topLeftCell="A7" activePane="bottomLeft" state="frozen"/>
      <selection pane="bottomLeft" activeCell="A1" sqref="A1"/>
    </sheetView>
    <sheetView workbookViewId="1">
      <selection activeCell="A1" sqref="A1"/>
    </sheetView>
  </sheetViews>
  <sheetFormatPr baseColWidth="10" defaultColWidth="8.6640625" defaultRowHeight="15"/>
  <cols>
    <col width="10" customWidth="1" min="1" max="1"/>
    <col width="34" customWidth="1" min="2" max="2"/>
    <col width="13" customWidth="1" min="3" max="3"/>
    <col width="14" customWidth="1" min="4" max="5"/>
    <col width="13" customWidth="1" min="6" max="6"/>
    <col width="14" customWidth="1" min="7" max="7"/>
    <col width="11" customWidth="1" min="8" max="8"/>
  </cols>
  <sheetData>
    <row r="1" ht="24" customHeight="1">
      <c r="A1" s="1" t="inlineStr">
        <is>
          <t>Confrontation juniors / encadrants</t>
        </is>
      </c>
      <c r="B1" s="2" t="n"/>
      <c r="C1" s="2" t="n"/>
      <c r="D1" s="2" t="n"/>
      <c r="E1" s="2" t="n"/>
      <c r="F1" s="2" t="n"/>
      <c r="G1" s="2" t="n"/>
      <c r="H1" s="2" t="n"/>
    </row>
    <row r="2" ht="15" customHeight="1">
      <c r="A2" s="3" t="inlineStr">
        <is>
          <t>Ecart = part des encadrants moins part des juniors ayant aborde le code. Parts calculees sur 2 juniors et 3 encadrants. Un ecart marque signale un clivage a exploiter en 4.1 et 4.2.</t>
        </is>
      </c>
    </row>
    <row r="4" ht="30" customHeight="1">
      <c r="A4" s="6" t="inlineStr">
        <is>
          <t>Code</t>
        </is>
      </c>
      <c r="B4" s="6" t="inlineStr">
        <is>
          <t>Intitule</t>
        </is>
      </c>
      <c r="C4" s="6" t="inlineStr">
        <is>
          <t>Juniors (nb)</t>
        </is>
      </c>
      <c r="D4" s="6" t="inlineStr">
        <is>
          <t>Encadrants (nb)</t>
        </is>
      </c>
      <c r="E4" s="6" t="n"/>
      <c r="F4" s="6" t="inlineStr">
        <is>
          <t>Part juniors (/2)</t>
        </is>
      </c>
      <c r="G4" s="6" t="inlineStr">
        <is>
          <t>Part encadrants (/3)</t>
        </is>
      </c>
      <c r="H4" s="6" t="inlineStr">
        <is>
          <t>Ecart</t>
        </is>
      </c>
    </row>
    <row r="5" ht="15" customHeight="1">
      <c r="A5" s="11" t="inlineStr">
        <is>
          <t>A1.1</t>
        </is>
      </c>
      <c r="B5" s="12" t="inlineStr">
        <is>
          <t>Recherche et veille</t>
        </is>
      </c>
      <c r="C5" s="14">
        <f>COUNTIF(Matrice!$C5:$F5,"&gt;0")</f>
        <v/>
      </c>
      <c r="D5" s="14">
        <f>COUNTIF(Matrice!$G5:$J5,"&gt;0")</f>
        <v/>
      </c>
      <c r="E5" s="14" t="n"/>
      <c r="F5" s="17">
        <f>IFERROR($C5/2,0)</f>
        <v/>
      </c>
      <c r="G5" s="17">
        <f>IFERROR($D5/3,0)</f>
        <v/>
      </c>
      <c r="H5" s="18">
        <f>$G5-$F5</f>
        <v/>
      </c>
    </row>
    <row r="6" ht="15" customHeight="1">
      <c r="A6" s="11" t="inlineStr">
        <is>
          <t>A1.2</t>
        </is>
      </c>
      <c r="B6" s="12" t="inlineStr">
        <is>
          <t>Synthese et reformulation</t>
        </is>
      </c>
      <c r="C6" s="14">
        <f>COUNTIF(Matrice!$C6:$F6,"&gt;0")</f>
        <v/>
      </c>
      <c r="D6" s="14">
        <f>COUNTIF(Matrice!$G6:$J6,"&gt;0")</f>
        <v/>
      </c>
      <c r="E6" s="14" t="n"/>
      <c r="F6" s="17">
        <f>IFERROR($C6/2,0)</f>
        <v/>
      </c>
      <c r="G6" s="17">
        <f>IFERROR($D6/3,0)</f>
        <v/>
      </c>
      <c r="H6" s="18">
        <f>$G6-$F6</f>
        <v/>
      </c>
    </row>
    <row r="7" ht="15" customHeight="1">
      <c r="A7" s="11" t="inlineStr">
        <is>
          <t>A1.3</t>
        </is>
      </c>
      <c r="B7" s="12" t="inlineStr">
        <is>
          <t>Premiere redaction</t>
        </is>
      </c>
      <c r="C7" s="14">
        <f>COUNTIF(Matrice!$C7:$F7,"&gt;0")</f>
        <v/>
      </c>
      <c r="D7" s="14">
        <f>COUNTIF(Matrice!$G7:$J7,"&gt;0")</f>
        <v/>
      </c>
      <c r="E7" s="14" t="n"/>
      <c r="F7" s="17">
        <f>IFERROR($C7/2,0)</f>
        <v/>
      </c>
      <c r="G7" s="17">
        <f>IFERROR($D7/3,0)</f>
        <v/>
      </c>
      <c r="H7" s="18">
        <f>$G7-$F7</f>
        <v/>
      </c>
    </row>
    <row r="8" ht="15" customHeight="1">
      <c r="A8" s="11" t="inlineStr">
        <is>
          <t>A1.4</t>
        </is>
      </c>
      <c r="B8" s="12" t="inlineStr">
        <is>
          <t>Traduction et mise en forme</t>
        </is>
      </c>
      <c r="C8" s="14">
        <f>COUNTIF(Matrice!$C8:$F8,"&gt;0")</f>
        <v/>
      </c>
      <c r="D8" s="14">
        <f>COUNTIF(Matrice!$G8:$J8,"&gt;0")</f>
        <v/>
      </c>
      <c r="E8" s="14" t="n"/>
      <c r="F8" s="17">
        <f>IFERROR($C8/2,0)</f>
        <v/>
      </c>
      <c r="G8" s="17">
        <f>IFERROR($D8/3,0)</f>
        <v/>
      </c>
      <c r="H8" s="18">
        <f>$G8-$F8</f>
        <v/>
      </c>
    </row>
    <row r="9" ht="15" customHeight="1">
      <c r="A9" s="11" t="inlineStr">
        <is>
          <t>A1.5</t>
        </is>
      </c>
      <c r="B9" s="12" t="inlineStr">
        <is>
          <t>Structuration du raisonnement</t>
        </is>
      </c>
      <c r="C9" s="14">
        <f>COUNTIF(Matrice!$C9:$F9,"&gt;0")</f>
        <v/>
      </c>
      <c r="D9" s="14">
        <f>COUNTIF(Matrice!$G9:$J9,"&gt;0")</f>
        <v/>
      </c>
      <c r="E9" s="14" t="n"/>
      <c r="F9" s="17">
        <f>IFERROR($C9/2,0)</f>
        <v/>
      </c>
      <c r="G9" s="17">
        <f>IFERROR($D9/3,0)</f>
        <v/>
      </c>
      <c r="H9" s="18">
        <f>$G9-$F9</f>
        <v/>
      </c>
    </row>
    <row r="10" ht="15" customHeight="1">
      <c r="A10" s="11" t="inlineStr">
        <is>
          <t>A2.1</t>
        </is>
      </c>
      <c r="B10" s="12" t="inlineStr">
        <is>
          <t>Sanctuarisation - confidentialite</t>
        </is>
      </c>
      <c r="C10" s="14">
        <f>COUNTIF(Matrice!$C10:$F10,"&gt;0")</f>
        <v/>
      </c>
      <c r="D10" s="14">
        <f>COUNTIF(Matrice!$G10:$J10,"&gt;0")</f>
        <v/>
      </c>
      <c r="E10" s="14" t="n"/>
      <c r="F10" s="17">
        <f>IFERROR($C10/2,0)</f>
        <v/>
      </c>
      <c r="G10" s="17">
        <f>IFERROR($D10/3,0)</f>
        <v/>
      </c>
      <c r="H10" s="18">
        <f>$G10-$F10</f>
        <v/>
      </c>
    </row>
    <row r="11" ht="15" customHeight="1">
      <c r="A11" s="11" t="inlineStr">
        <is>
          <t>A2.2</t>
        </is>
      </c>
      <c r="B11" s="12" t="inlineStr">
        <is>
          <t>Sanctuarisation - jugement</t>
        </is>
      </c>
      <c r="C11" s="14">
        <f>COUNTIF(Matrice!$C11:$F11,"&gt;0")</f>
        <v/>
      </c>
      <c r="D11" s="14">
        <f>COUNTIF(Matrice!$G11:$J11,"&gt;0")</f>
        <v/>
      </c>
      <c r="E11" s="14" t="n"/>
      <c r="F11" s="17">
        <f>IFERROR($C11/2,0)</f>
        <v/>
      </c>
      <c r="G11" s="17">
        <f>IFERROR($D11/3,0)</f>
        <v/>
      </c>
      <c r="H11" s="18">
        <f>$G11-$F11</f>
        <v/>
      </c>
    </row>
    <row r="12" ht="15" customHeight="1">
      <c r="A12" s="11" t="inlineStr">
        <is>
          <t>A2.3</t>
        </is>
      </c>
      <c r="B12" s="12" t="inlineStr">
        <is>
          <t>Sanctuarisation - relation</t>
        </is>
      </c>
      <c r="C12" s="14">
        <f>COUNTIF(Matrice!$C12:$F12,"&gt;0")</f>
        <v/>
      </c>
      <c r="D12" s="14">
        <f>COUNTIF(Matrice!$G12:$J12,"&gt;0")</f>
        <v/>
      </c>
      <c r="E12" s="14" t="n"/>
      <c r="F12" s="17">
        <f>IFERROR($C12/2,0)</f>
        <v/>
      </c>
      <c r="G12" s="17">
        <f>IFERROR($D12/3,0)</f>
        <v/>
      </c>
      <c r="H12" s="18">
        <f>$G12-$F12</f>
        <v/>
      </c>
    </row>
    <row r="13" ht="15" customHeight="1">
      <c r="A13" s="11" t="inlineStr">
        <is>
          <t>A3.1</t>
        </is>
      </c>
      <c r="B13" s="12" t="inlineStr">
        <is>
          <t>Apprentissage autonome</t>
        </is>
      </c>
      <c r="C13" s="14">
        <f>COUNTIF(Matrice!$C13:$F13,"&gt;0")</f>
        <v/>
      </c>
      <c r="D13" s="14">
        <f>COUNTIF(Matrice!$G13:$J13,"&gt;0")</f>
        <v/>
      </c>
      <c r="E13" s="14" t="n"/>
      <c r="F13" s="17">
        <f>IFERROR($C13/2,0)</f>
        <v/>
      </c>
      <c r="G13" s="17">
        <f>IFERROR($D13/3,0)</f>
        <v/>
      </c>
      <c r="H13" s="18">
        <f>$G13-$F13</f>
        <v/>
      </c>
    </row>
    <row r="14" ht="15" customHeight="1">
      <c r="A14" s="11" t="inlineStr">
        <is>
          <t>A3.2</t>
        </is>
      </c>
      <c r="B14" s="12" t="inlineStr">
        <is>
          <t>Transmission entre pairs</t>
        </is>
      </c>
      <c r="C14" s="14">
        <f>COUNTIF(Matrice!$C14:$F14,"&gt;0")</f>
        <v/>
      </c>
      <c r="D14" s="14">
        <f>COUNTIF(Matrice!$G14:$J14,"&gt;0")</f>
        <v/>
      </c>
      <c r="E14" s="14" t="n"/>
      <c r="F14" s="17">
        <f>IFERROR($C14/2,0)</f>
        <v/>
      </c>
      <c r="G14" s="17">
        <f>IFERROR($D14/3,0)</f>
        <v/>
      </c>
      <c r="H14" s="18">
        <f>$G14-$F14</f>
        <v/>
      </c>
    </row>
    <row r="15" ht="15" customHeight="1">
      <c r="A15" s="11" t="inlineStr">
        <is>
          <t>A3.3</t>
        </is>
      </c>
      <c r="B15" s="12" t="inlineStr">
        <is>
          <t>Formation institutionnelle</t>
        </is>
      </c>
      <c r="C15" s="14">
        <f>COUNTIF(Matrice!$C15:$F15,"&gt;0")</f>
        <v/>
      </c>
      <c r="D15" s="14">
        <f>COUNTIF(Matrice!$G15:$J15,"&gt;0")</f>
        <v/>
      </c>
      <c r="E15" s="14" t="n"/>
      <c r="F15" s="17">
        <f>IFERROR($C15/2,0)</f>
        <v/>
      </c>
      <c r="G15" s="17">
        <f>IFERROR($D15/3,0)</f>
        <v/>
      </c>
      <c r="H15" s="18">
        <f>$G15-$F15</f>
        <v/>
      </c>
    </row>
    <row r="16" ht="15" customHeight="1">
      <c r="A16" s="11" t="inlineStr">
        <is>
          <t>A4.1</t>
        </is>
      </c>
      <c r="B16" s="12" t="inlineStr">
        <is>
          <t>Utilite percue</t>
        </is>
      </c>
      <c r="C16" s="14">
        <f>COUNTIF(Matrice!$C16:$F16,"&gt;0")</f>
        <v/>
      </c>
      <c r="D16" s="14">
        <f>COUNTIF(Matrice!$G16:$J16,"&gt;0")</f>
        <v/>
      </c>
      <c r="E16" s="14" t="n"/>
      <c r="F16" s="17">
        <f>IFERROR($C16/2,0)</f>
        <v/>
      </c>
      <c r="G16" s="17">
        <f>IFERROR($D16/3,0)</f>
        <v/>
      </c>
      <c r="H16" s="18">
        <f>$G16-$F16</f>
        <v/>
      </c>
    </row>
    <row r="17" ht="15" customHeight="1">
      <c r="A17" s="11" t="inlineStr">
        <is>
          <t>A4.2</t>
        </is>
      </c>
      <c r="B17" s="12" t="inlineStr">
        <is>
          <t>Facilite d'usage percue</t>
        </is>
      </c>
      <c r="C17" s="14">
        <f>COUNTIF(Matrice!$C17:$F17,"&gt;0")</f>
        <v/>
      </c>
      <c r="D17" s="14">
        <f>COUNTIF(Matrice!$G17:$J17,"&gt;0")</f>
        <v/>
      </c>
      <c r="E17" s="14" t="n"/>
      <c r="F17" s="17">
        <f>IFERROR($C17/2,0)</f>
        <v/>
      </c>
      <c r="G17" s="17">
        <f>IFERROR($D17/3,0)</f>
        <v/>
      </c>
      <c r="H17" s="18">
        <f>$G17-$F17</f>
        <v/>
      </c>
    </row>
    <row r="18" ht="15" customHeight="1">
      <c r="A18" s="11" t="inlineStr">
        <is>
          <t>A4.3</t>
        </is>
      </c>
      <c r="B18" s="12" t="inlineStr">
        <is>
          <t>Resistance ou evitement</t>
        </is>
      </c>
      <c r="C18" s="14">
        <f>COUNTIF(Matrice!$C18:$F18,"&gt;0")</f>
        <v/>
      </c>
      <c r="D18" s="14">
        <f>COUNTIF(Matrice!$G18:$J18,"&gt;0")</f>
        <v/>
      </c>
      <c r="E18" s="14" t="n"/>
      <c r="F18" s="17">
        <f>IFERROR($C18/2,0)</f>
        <v/>
      </c>
      <c r="G18" s="17">
        <f>IFERROR($D18/3,0)</f>
        <v/>
      </c>
      <c r="H18" s="18">
        <f>$G18-$F18</f>
        <v/>
      </c>
    </row>
    <row r="19" ht="15" customHeight="1">
      <c r="A19" s="11" t="inlineStr">
        <is>
          <t>A4.4</t>
        </is>
      </c>
      <c r="B19" s="12" t="inlineStr">
        <is>
          <t>Contournement outille</t>
        </is>
      </c>
      <c r="C19" s="14">
        <f>COUNTIF(Matrice!$C19:$F19,"&gt;0")</f>
        <v/>
      </c>
      <c r="D19" s="14">
        <f>COUNTIF(Matrice!$G19:$J19,"&gt;0")</f>
        <v/>
      </c>
      <c r="E19" s="14" t="n"/>
      <c r="F19" s="17">
        <f>IFERROR($C19/2,0)</f>
        <v/>
      </c>
      <c r="G19" s="17">
        <f>IFERROR($D19/3,0)</f>
        <v/>
      </c>
      <c r="H19" s="18">
        <f>$G19-$F19</f>
        <v/>
      </c>
    </row>
    <row r="20" ht="15" customHeight="1">
      <c r="A20" s="11" t="inlineStr">
        <is>
          <t>B1.1</t>
        </is>
      </c>
      <c r="B20" s="12" t="inlineStr">
        <is>
          <t>Vertu formatrice reconnue</t>
        </is>
      </c>
      <c r="C20" s="14">
        <f>COUNTIF(Matrice!$C20:$F20,"&gt;0")</f>
        <v/>
      </c>
      <c r="D20" s="14">
        <f>COUNTIF(Matrice!$G20:$J20,"&gt;0")</f>
        <v/>
      </c>
      <c r="E20" s="14" t="n"/>
      <c r="F20" s="17">
        <f>IFERROR($C20/2,0)</f>
        <v/>
      </c>
      <c r="G20" s="17">
        <f>IFERROR($D20/3,0)</f>
        <v/>
      </c>
      <c r="H20" s="18">
        <f>$G20-$F20</f>
        <v/>
      </c>
    </row>
    <row r="21" ht="15" customHeight="1">
      <c r="A21" s="11" t="inlineStr">
        <is>
          <t>B1.2</t>
        </is>
      </c>
      <c r="B21" s="12" t="inlineStr">
        <is>
          <t>Vertu formatrice deniee</t>
        </is>
      </c>
      <c r="C21" s="14">
        <f>COUNTIF(Matrice!$C21:$F21,"&gt;0")</f>
        <v/>
      </c>
      <c r="D21" s="14">
        <f>COUNTIF(Matrice!$G21:$J21,"&gt;0")</f>
        <v/>
      </c>
      <c r="E21" s="14" t="n"/>
      <c r="F21" s="17">
        <f>IFERROR($C21/2,0)</f>
        <v/>
      </c>
      <c r="G21" s="17">
        <f>IFERROR($D21/3,0)</f>
        <v/>
      </c>
      <c r="H21" s="18">
        <f>$G21-$F21</f>
        <v/>
      </c>
    </row>
    <row r="22" ht="23.25" customHeight="1">
      <c r="A22" s="11" t="inlineStr">
        <is>
          <t>B2.1</t>
        </is>
      </c>
      <c r="B22" s="12" t="inlineStr">
        <is>
          <t>Acceleration de la montee en competence</t>
        </is>
      </c>
      <c r="C22" s="14">
        <f>COUNTIF(Matrice!$C22:$F22,"&gt;0")</f>
        <v/>
      </c>
      <c r="D22" s="14">
        <f>COUNTIF(Matrice!$G22:$J22,"&gt;0")</f>
        <v/>
      </c>
      <c r="E22" s="14" t="n"/>
      <c r="F22" s="17">
        <f>IFERROR($C22/2,0)</f>
        <v/>
      </c>
      <c r="G22" s="17">
        <f>IFERROR($D22/3,0)</f>
        <v/>
      </c>
      <c r="H22" s="18">
        <f>$G22-$F22</f>
        <v/>
      </c>
    </row>
    <row r="23" ht="15" customHeight="1">
      <c r="A23" s="11" t="inlineStr">
        <is>
          <t>B2.2</t>
        </is>
      </c>
      <c r="B23" s="12" t="inlineStr">
        <is>
          <t>Atrophie du raisonnement</t>
        </is>
      </c>
      <c r="C23" s="14">
        <f>COUNTIF(Matrice!$C23:$F23,"&gt;0")</f>
        <v/>
      </c>
      <c r="D23" s="14">
        <f>COUNTIF(Matrice!$G23:$J23,"&gt;0")</f>
        <v/>
      </c>
      <c r="E23" s="14" t="n"/>
      <c r="F23" s="17">
        <f>IFERROR($C23/2,0)</f>
        <v/>
      </c>
      <c r="G23" s="17">
        <f>IFERROR($D23/3,0)</f>
        <v/>
      </c>
      <c r="H23" s="18">
        <f>$G23-$F23</f>
        <v/>
      </c>
    </row>
    <row r="24" ht="15" customHeight="1">
      <c r="A24" s="11" t="inlineStr">
        <is>
          <t>B2.3</t>
        </is>
      </c>
      <c r="B24" s="12" t="inlineStr">
        <is>
          <t>Verification comme competence</t>
        </is>
      </c>
      <c r="C24" s="14">
        <f>COUNTIF(Matrice!$C24:$F24,"&gt;0")</f>
        <v/>
      </c>
      <c r="D24" s="14">
        <f>COUNTIF(Matrice!$G24:$J24,"&gt;0")</f>
        <v/>
      </c>
      <c r="E24" s="14" t="n"/>
      <c r="F24" s="17">
        <f>IFERROR($C24/2,0)</f>
        <v/>
      </c>
      <c r="G24" s="17">
        <f>IFERROR($D24/3,0)</f>
        <v/>
      </c>
      <c r="H24" s="18">
        <f>$G24-$F24</f>
        <v/>
      </c>
    </row>
    <row r="25" ht="15" customHeight="1">
      <c r="A25" s="11" t="inlineStr">
        <is>
          <t>B3.1</t>
        </is>
      </c>
      <c r="B25" s="12" t="inlineStr">
        <is>
          <t>Relecture senior formatrice</t>
        </is>
      </c>
      <c r="C25" s="14">
        <f>COUNTIF(Matrice!$C25:$F25,"&gt;0")</f>
        <v/>
      </c>
      <c r="D25" s="14">
        <f>COUNTIF(Matrice!$G25:$J25,"&gt;0")</f>
        <v/>
      </c>
      <c r="E25" s="14" t="n"/>
      <c r="F25" s="17">
        <f>IFERROR($C25/2,0)</f>
        <v/>
      </c>
      <c r="G25" s="17">
        <f>IFERROR($D25/3,0)</f>
        <v/>
      </c>
      <c r="H25" s="18">
        <f>$G25-$F25</f>
        <v/>
      </c>
    </row>
    <row r="26" ht="15" customHeight="1">
      <c r="A26" s="11" t="inlineStr">
        <is>
          <t>B3.2</t>
        </is>
      </c>
      <c r="B26" s="12" t="inlineStr">
        <is>
          <t>Appauvrissement de l'interaction</t>
        </is>
      </c>
      <c r="C26" s="14">
        <f>COUNTIF(Matrice!$C26:$F26,"&gt;0")</f>
        <v/>
      </c>
      <c r="D26" s="14">
        <f>COUNTIF(Matrice!$G26:$J26,"&gt;0")</f>
        <v/>
      </c>
      <c r="E26" s="14" t="n"/>
      <c r="F26" s="17">
        <f>IFERROR($C26/2,0)</f>
        <v/>
      </c>
      <c r="G26" s="17">
        <f>IFERROR($D26/3,0)</f>
        <v/>
      </c>
      <c r="H26" s="18">
        <f>$G26-$F26</f>
        <v/>
      </c>
    </row>
    <row r="27" ht="15" customHeight="1">
      <c r="A27" s="11" t="inlineStr">
        <is>
          <t>B3.3</t>
        </is>
      </c>
      <c r="B27" s="12" t="inlineStr">
        <is>
          <t>Compagnonnage preserve</t>
        </is>
      </c>
      <c r="C27" s="14">
        <f>COUNTIF(Matrice!$C27:$F27,"&gt;0")</f>
        <v/>
      </c>
      <c r="D27" s="14">
        <f>COUNTIF(Matrice!$G27:$J27,"&gt;0")</f>
        <v/>
      </c>
      <c r="E27" s="14" t="n"/>
      <c r="F27" s="17">
        <f>IFERROR($C27/2,0)</f>
        <v/>
      </c>
      <c r="G27" s="17">
        <f>IFERROR($D27/3,0)</f>
        <v/>
      </c>
      <c r="H27" s="18">
        <f>$G27-$F27</f>
        <v/>
      </c>
    </row>
    <row r="28" ht="15" customHeight="1">
      <c r="A28" s="11" t="inlineStr">
        <is>
          <t>B4.1</t>
        </is>
      </c>
      <c r="B28" s="12" t="inlineStr">
        <is>
          <t>Dependance declaree</t>
        </is>
      </c>
      <c r="C28" s="14">
        <f>COUNTIF(Matrice!$C28:$F28,"&gt;0")</f>
        <v/>
      </c>
      <c r="D28" s="14">
        <f>COUNTIF(Matrice!$G28:$J28,"&gt;0")</f>
        <v/>
      </c>
      <c r="E28" s="14" t="n"/>
      <c r="F28" s="17">
        <f>IFERROR($C28/2,0)</f>
        <v/>
      </c>
      <c r="G28" s="17">
        <f>IFERROR($D28/3,0)</f>
        <v/>
      </c>
      <c r="H28" s="18">
        <f>$G28-$F28</f>
        <v/>
      </c>
    </row>
    <row r="29" ht="15" customHeight="1">
      <c r="A29" s="11" t="inlineStr">
        <is>
          <t>B4.2</t>
        </is>
      </c>
      <c r="B29" s="12" t="inlineStr">
        <is>
          <t>Validation sans maitrise</t>
        </is>
      </c>
      <c r="C29" s="14">
        <f>COUNTIF(Matrice!$C29:$F29,"&gt;0")</f>
        <v/>
      </c>
      <c r="D29" s="14">
        <f>COUNTIF(Matrice!$G29:$J29,"&gt;0")</f>
        <v/>
      </c>
      <c r="E29" s="14" t="n"/>
      <c r="F29" s="17">
        <f>IFERROR($C29/2,0)</f>
        <v/>
      </c>
      <c r="G29" s="17">
        <f>IFERROR($D29/3,0)</f>
        <v/>
      </c>
      <c r="H29" s="18">
        <f>$G29-$F29</f>
        <v/>
      </c>
    </row>
    <row r="30" ht="15" customHeight="1">
      <c r="A30" s="11" t="inlineStr">
        <is>
          <t>C1.1</t>
        </is>
      </c>
      <c r="B30" s="12" t="inlineStr">
        <is>
          <t>Legitimite cognitive</t>
        </is>
      </c>
      <c r="C30" s="14">
        <f>COUNTIF(Matrice!$C30:$F30,"&gt;0")</f>
        <v/>
      </c>
      <c r="D30" s="14">
        <f>COUNTIF(Matrice!$G30:$J30,"&gt;0")</f>
        <v/>
      </c>
      <c r="E30" s="14" t="n"/>
      <c r="F30" s="17">
        <f>IFERROR($C30/2,0)</f>
        <v/>
      </c>
      <c r="G30" s="17">
        <f>IFERROR($D30/3,0)</f>
        <v/>
      </c>
      <c r="H30" s="18">
        <f>$G30-$F30</f>
        <v/>
      </c>
    </row>
    <row r="31" ht="15" customHeight="1">
      <c r="A31" s="11" t="inlineStr">
        <is>
          <t>C1.2</t>
        </is>
      </c>
      <c r="B31" s="12" t="inlineStr">
        <is>
          <t>Legitimite pragmatique</t>
        </is>
      </c>
      <c r="C31" s="14">
        <f>COUNTIF(Matrice!$C31:$F31,"&gt;0")</f>
        <v/>
      </c>
      <c r="D31" s="14">
        <f>COUNTIF(Matrice!$G31:$J31,"&gt;0")</f>
        <v/>
      </c>
      <c r="E31" s="14" t="n"/>
      <c r="F31" s="17">
        <f>IFERROR($C31/2,0)</f>
        <v/>
      </c>
      <c r="G31" s="17">
        <f>IFERROR($D31/3,0)</f>
        <v/>
      </c>
      <c r="H31" s="18">
        <f>$G31-$F31</f>
        <v/>
      </c>
    </row>
    <row r="32" ht="15" customHeight="1">
      <c r="A32" s="11" t="inlineStr">
        <is>
          <t>C1.3</t>
        </is>
      </c>
      <c r="B32" s="12" t="inlineStr">
        <is>
          <t>Legitimite morale</t>
        </is>
      </c>
      <c r="C32" s="14">
        <f>COUNTIF(Matrice!$C32:$F32,"&gt;0")</f>
        <v/>
      </c>
      <c r="D32" s="14">
        <f>COUNTIF(Matrice!$G32:$J32,"&gt;0")</f>
        <v/>
      </c>
      <c r="E32" s="14" t="n"/>
      <c r="F32" s="17">
        <f>IFERROR($C32/2,0)</f>
        <v/>
      </c>
      <c r="G32" s="17">
        <f>IFERROR($D32/3,0)</f>
        <v/>
      </c>
      <c r="H32" s="18">
        <f>$G32-$F32</f>
        <v/>
      </c>
    </row>
    <row r="33" ht="15" customHeight="1">
      <c r="A33" s="11" t="inlineStr">
        <is>
          <t>C2.1</t>
        </is>
      </c>
      <c r="B33" s="12" t="inlineStr">
        <is>
          <t>Transparence assumee</t>
        </is>
      </c>
      <c r="C33" s="14">
        <f>COUNTIF(Matrice!$C33:$F33,"&gt;0")</f>
        <v/>
      </c>
      <c r="D33" s="14">
        <f>COUNTIF(Matrice!$G33:$J33,"&gt;0")</f>
        <v/>
      </c>
      <c r="E33" s="14" t="n"/>
      <c r="F33" s="17">
        <f>IFERROR($C33/2,0)</f>
        <v/>
      </c>
      <c r="G33" s="17">
        <f>IFERROR($D33/3,0)</f>
        <v/>
      </c>
      <c r="H33" s="18">
        <f>$G33-$F33</f>
        <v/>
      </c>
    </row>
    <row r="34" ht="15" customHeight="1">
      <c r="A34" s="11" t="inlineStr">
        <is>
          <t>C2.2</t>
        </is>
      </c>
      <c r="B34" s="12" t="inlineStr">
        <is>
          <t>Opacite strategique</t>
        </is>
      </c>
      <c r="C34" s="14">
        <f>COUNTIF(Matrice!$C34:$F34,"&gt;0")</f>
        <v/>
      </c>
      <c r="D34" s="14">
        <f>COUNTIF(Matrice!$G34:$J34,"&gt;0")</f>
        <v/>
      </c>
      <c r="E34" s="14" t="n"/>
      <c r="F34" s="17">
        <f>IFERROR($C34/2,0)</f>
        <v/>
      </c>
      <c r="G34" s="17">
        <f>IFERROR($D34/3,0)</f>
        <v/>
      </c>
      <c r="H34" s="18">
        <f>$G34-$F34</f>
        <v/>
      </c>
    </row>
    <row r="35" ht="15" customHeight="1">
      <c r="A35" s="11" t="inlineStr">
        <is>
          <t>C2.3</t>
        </is>
      </c>
      <c r="B35" s="12" t="inlineStr">
        <is>
          <t>Interpellation par le client</t>
        </is>
      </c>
      <c r="C35" s="14">
        <f>COUNTIF(Matrice!$C35:$F35,"&gt;0")</f>
        <v/>
      </c>
      <c r="D35" s="14">
        <f>COUNTIF(Matrice!$G35:$J35,"&gt;0")</f>
        <v/>
      </c>
      <c r="E35" s="14" t="n"/>
      <c r="F35" s="17">
        <f>IFERROR($C35/2,0)</f>
        <v/>
      </c>
      <c r="G35" s="17">
        <f>IFERROR($D35/3,0)</f>
        <v/>
      </c>
      <c r="H35" s="18">
        <f>$G35-$F35</f>
        <v/>
      </c>
    </row>
    <row r="36" ht="15" customHeight="1">
      <c r="A36" s="11" t="inlineStr">
        <is>
          <t>C3.1</t>
        </is>
      </c>
      <c r="B36" s="12" t="inlineStr">
        <is>
          <t>Deplacement vers le jugement</t>
        </is>
      </c>
      <c r="C36" s="14">
        <f>COUNTIF(Matrice!$C36:$F36,"&gt;0")</f>
        <v/>
      </c>
      <c r="D36" s="14">
        <f>COUNTIF(Matrice!$G36:$J36,"&gt;0")</f>
        <v/>
      </c>
      <c r="E36" s="14" t="n"/>
      <c r="F36" s="17">
        <f>IFERROR($C36/2,0)</f>
        <v/>
      </c>
      <c r="G36" s="17">
        <f>IFERROR($D36/3,0)</f>
        <v/>
      </c>
      <c r="H36" s="18">
        <f>$G36-$F36</f>
        <v/>
      </c>
    </row>
    <row r="37" ht="15" customHeight="1">
      <c r="A37" s="11" t="inlineStr">
        <is>
          <t>C3.2</t>
        </is>
      </c>
      <c r="B37" s="12" t="inlineStr">
        <is>
          <t>Deplacement vers la responsabilite</t>
        </is>
      </c>
      <c r="C37" s="14">
        <f>COUNTIF(Matrice!$C37:$F37,"&gt;0")</f>
        <v/>
      </c>
      <c r="D37" s="14">
        <f>COUNTIF(Matrice!$G37:$J37,"&gt;0")</f>
        <v/>
      </c>
      <c r="E37" s="14" t="n"/>
      <c r="F37" s="17">
        <f>IFERROR($C37/2,0)</f>
        <v/>
      </c>
      <c r="G37" s="17">
        <f>IFERROR($D37/3,0)</f>
        <v/>
      </c>
      <c r="H37" s="18">
        <f>$G37-$F37</f>
        <v/>
      </c>
    </row>
    <row r="38" ht="15" customHeight="1">
      <c r="A38" s="11" t="inlineStr">
        <is>
          <t>C3.3</t>
        </is>
      </c>
      <c r="B38" s="12" t="inlineStr">
        <is>
          <t>Menace de desintermediation</t>
        </is>
      </c>
      <c r="C38" s="14">
        <f>COUNTIF(Matrice!$C38:$F38,"&gt;0")</f>
        <v/>
      </c>
      <c r="D38" s="14">
        <f>COUNTIF(Matrice!$G38:$J38,"&gt;0")</f>
        <v/>
      </c>
      <c r="E38" s="14" t="n"/>
      <c r="F38" s="17">
        <f>IFERROR($C38/2,0)</f>
        <v/>
      </c>
      <c r="G38" s="17">
        <f>IFERROR($D38/3,0)</f>
        <v/>
      </c>
      <c r="H38" s="18">
        <f>$G38-$F38</f>
        <v/>
      </c>
    </row>
    <row r="39" ht="15" customHeight="1">
      <c r="A39" s="11" t="inlineStr">
        <is>
          <t>C4.1</t>
        </is>
      </c>
      <c r="B39" s="12" t="inlineStr">
        <is>
          <t>Tension sur le modele tarifaire</t>
        </is>
      </c>
      <c r="C39" s="14">
        <f>COUNTIF(Matrice!$C39:$F39,"&gt;0")</f>
        <v/>
      </c>
      <c r="D39" s="14">
        <f>COUNTIF(Matrice!$G39:$J39,"&gt;0")</f>
        <v/>
      </c>
      <c r="E39" s="14" t="n"/>
      <c r="F39" s="17">
        <f>IFERROR($C39/2,0)</f>
        <v/>
      </c>
      <c r="G39" s="17">
        <f>IFERROR($D39/3,0)</f>
        <v/>
      </c>
      <c r="H39" s="18">
        <f>$G39-$F39</f>
        <v/>
      </c>
    </row>
    <row r="40" ht="15" customHeight="1">
      <c r="A40" s="11" t="inlineStr">
        <is>
          <t>D1.1</t>
        </is>
      </c>
      <c r="B40" s="12" t="inlineStr">
        <is>
          <t>Regle formelle connue</t>
        </is>
      </c>
      <c r="C40" s="14">
        <f>COUNTIF(Matrice!$C40:$F40,"&gt;0")</f>
        <v/>
      </c>
      <c r="D40" s="14">
        <f>COUNTIF(Matrice!$G40:$J40,"&gt;0")</f>
        <v/>
      </c>
      <c r="E40" s="14" t="n"/>
      <c r="F40" s="17">
        <f>IFERROR($C40/2,0)</f>
        <v/>
      </c>
      <c r="G40" s="17">
        <f>IFERROR($D40/3,0)</f>
        <v/>
      </c>
      <c r="H40" s="18">
        <f>$G40-$F40</f>
        <v/>
      </c>
    </row>
    <row r="41" ht="15" customHeight="1">
      <c r="A41" s="11" t="inlineStr">
        <is>
          <t>D1.2</t>
        </is>
      </c>
      <c r="B41" s="12" t="inlineStr">
        <is>
          <t>Norme informelle</t>
        </is>
      </c>
      <c r="C41" s="14">
        <f>COUNTIF(Matrice!$C41:$F41,"&gt;0")</f>
        <v/>
      </c>
      <c r="D41" s="14">
        <f>COUNTIF(Matrice!$G41:$J41,"&gt;0")</f>
        <v/>
      </c>
      <c r="E41" s="14" t="n"/>
      <c r="F41" s="17">
        <f>IFERROR($C41/2,0)</f>
        <v/>
      </c>
      <c r="G41" s="17">
        <f>IFERROR($D41/3,0)</f>
        <v/>
      </c>
      <c r="H41" s="18">
        <f>$G41-$F41</f>
        <v/>
      </c>
    </row>
    <row r="42" ht="15" customHeight="1">
      <c r="A42" s="11" t="inlineStr">
        <is>
          <t>D1.3</t>
        </is>
      </c>
      <c r="B42" s="12" t="inlineStr">
        <is>
          <t>Flou normatif</t>
        </is>
      </c>
      <c r="C42" s="14">
        <f>COUNTIF(Matrice!$C42:$F42,"&gt;0")</f>
        <v/>
      </c>
      <c r="D42" s="14">
        <f>COUNTIF(Matrice!$G42:$J42,"&gt;0")</f>
        <v/>
      </c>
      <c r="E42" s="14" t="n"/>
      <c r="F42" s="17">
        <f>IFERROR($C42/2,0)</f>
        <v/>
      </c>
      <c r="G42" s="17">
        <f>IFERROR($D42/3,0)</f>
        <v/>
      </c>
      <c r="H42" s="18">
        <f>$G42-$F42</f>
        <v/>
      </c>
    </row>
    <row r="43" ht="15" customHeight="1">
      <c r="A43" s="11" t="inlineStr">
        <is>
          <t>D2.1</t>
        </is>
      </c>
      <c r="B43" s="12" t="inlineStr">
        <is>
          <t>Revue hierarchique</t>
        </is>
      </c>
      <c r="C43" s="14">
        <f>COUNTIF(Matrice!$C43:$F43,"&gt;0")</f>
        <v/>
      </c>
      <c r="D43" s="14">
        <f>COUNTIF(Matrice!$G43:$J43,"&gt;0")</f>
        <v/>
      </c>
      <c r="E43" s="14" t="n"/>
      <c r="F43" s="17">
        <f>IFERROR($C43/2,0)</f>
        <v/>
      </c>
      <c r="G43" s="17">
        <f>IFERROR($D43/3,0)</f>
        <v/>
      </c>
      <c r="H43" s="18">
        <f>$G43-$F43</f>
        <v/>
      </c>
    </row>
    <row r="44" ht="15" customHeight="1">
      <c r="A44" s="11" t="inlineStr">
        <is>
          <t>D2.2</t>
        </is>
      </c>
      <c r="B44" s="12" t="inlineStr">
        <is>
          <t>Verification des sources</t>
        </is>
      </c>
      <c r="C44" s="14">
        <f>COUNTIF(Matrice!$C44:$F44,"&gt;0")</f>
        <v/>
      </c>
      <c r="D44" s="14">
        <f>COUNTIF(Matrice!$G44:$J44,"&gt;0")</f>
        <v/>
      </c>
      <c r="E44" s="14" t="n"/>
      <c r="F44" s="17">
        <f>IFERROR($C44/2,0)</f>
        <v/>
      </c>
      <c r="G44" s="17">
        <f>IFERROR($D44/3,0)</f>
        <v/>
      </c>
      <c r="H44" s="18">
        <f>$G44-$F44</f>
        <v/>
      </c>
    </row>
    <row r="45" ht="15" customHeight="1">
      <c r="A45" s="11" t="inlineStr">
        <is>
          <t>D2.3</t>
        </is>
      </c>
      <c r="B45" s="12" t="inlineStr">
        <is>
          <t>Absence de controle dedie</t>
        </is>
      </c>
      <c r="C45" s="14">
        <f>COUNTIF(Matrice!$C45:$F45,"&gt;0")</f>
        <v/>
      </c>
      <c r="D45" s="14">
        <f>COUNTIF(Matrice!$G45:$J45,"&gt;0")</f>
        <v/>
      </c>
      <c r="E45" s="14" t="n"/>
      <c r="F45" s="17">
        <f>IFERROR($C45/2,0)</f>
        <v/>
      </c>
      <c r="G45" s="17">
        <f>IFERROR($D45/3,0)</f>
        <v/>
      </c>
      <c r="H45" s="18">
        <f>$G45-$F45</f>
        <v/>
      </c>
    </row>
    <row r="46" ht="15" customHeight="1">
      <c r="A46" s="11" t="inlineStr">
        <is>
          <t>D3.1</t>
        </is>
      </c>
      <c r="B46" s="12" t="inlineStr">
        <is>
          <t>Hallucination detectee</t>
        </is>
      </c>
      <c r="C46" s="14">
        <f>COUNTIF(Matrice!$C46:$F46,"&gt;0")</f>
        <v/>
      </c>
      <c r="D46" s="14">
        <f>COUNTIF(Matrice!$G46:$J46,"&gt;0")</f>
        <v/>
      </c>
      <c r="E46" s="14" t="n"/>
      <c r="F46" s="17">
        <f>IFERROR($C46/2,0)</f>
        <v/>
      </c>
      <c r="G46" s="17">
        <f>IFERROR($D46/3,0)</f>
        <v/>
      </c>
      <c r="H46" s="18">
        <f>$G46-$F46</f>
        <v/>
      </c>
    </row>
    <row r="47" ht="15" customHeight="1">
      <c r="A47" s="11" t="inlineStr">
        <is>
          <t>D3.2</t>
        </is>
      </c>
      <c r="B47" s="12" t="inlineStr">
        <is>
          <t>Quasi-incident</t>
        </is>
      </c>
      <c r="C47" s="14">
        <f>COUNTIF(Matrice!$C47:$F47,"&gt;0")</f>
        <v/>
      </c>
      <c r="D47" s="14">
        <f>COUNTIF(Matrice!$G47:$J47,"&gt;0")</f>
        <v/>
      </c>
      <c r="E47" s="14" t="n"/>
      <c r="F47" s="17">
        <f>IFERROR($C47/2,0)</f>
        <v/>
      </c>
      <c r="G47" s="17">
        <f>IFERROR($D47/3,0)</f>
        <v/>
      </c>
      <c r="H47" s="18">
        <f>$G47-$F47</f>
        <v/>
      </c>
    </row>
    <row r="48" ht="15" customHeight="1">
      <c r="A48" s="11" t="inlineStr">
        <is>
          <t>D3.3</t>
        </is>
      </c>
      <c r="B48" s="12" t="inlineStr">
        <is>
          <t>Enjeu de confidentialite</t>
        </is>
      </c>
      <c r="C48" s="14">
        <f>COUNTIF(Matrice!$C48:$F48,"&gt;0")</f>
        <v/>
      </c>
      <c r="D48" s="14">
        <f>COUNTIF(Matrice!$G48:$J48,"&gt;0")</f>
        <v/>
      </c>
      <c r="E48" s="14" t="n"/>
      <c r="F48" s="17">
        <f>IFERROR($C48/2,0)</f>
        <v/>
      </c>
      <c r="G48" s="17">
        <f>IFERROR($D48/3,0)</f>
        <v/>
      </c>
      <c r="H48" s="18">
        <f>$G48-$F48</f>
        <v/>
      </c>
    </row>
    <row r="49" ht="15" customHeight="1">
      <c r="A49" s="11" t="inlineStr">
        <is>
          <t>D4.1</t>
        </is>
      </c>
      <c r="B49" s="12" t="inlineStr">
        <is>
          <t>Attribution de responsabilite</t>
        </is>
      </c>
      <c r="C49" s="14">
        <f>COUNTIF(Matrice!$C49:$F49,"&gt;0")</f>
        <v/>
      </c>
      <c r="D49" s="14">
        <f>COUNTIF(Matrice!$G49:$J49,"&gt;0")</f>
        <v/>
      </c>
      <c r="E49" s="14" t="n"/>
      <c r="F49" s="17">
        <f>IFERROR($C49/2,0)</f>
        <v/>
      </c>
      <c r="G49" s="17">
        <f>IFERROR($D49/3,0)</f>
        <v/>
      </c>
      <c r="H49" s="18">
        <f>$G49-$F49</f>
        <v/>
      </c>
    </row>
    <row r="50" ht="15" customHeight="1">
      <c r="A50" s="11" t="inlineStr">
        <is>
          <t>D5.1</t>
        </is>
      </c>
      <c r="B50" s="12" t="inlineStr">
        <is>
          <t>Regle percue comme bridante</t>
        </is>
      </c>
      <c r="C50" s="14">
        <f>COUNTIF(Matrice!$C50:$F50,"&gt;0")</f>
        <v/>
      </c>
      <c r="D50" s="14">
        <f>COUNTIF(Matrice!$G50:$J50,"&gt;0")</f>
        <v/>
      </c>
      <c r="E50" s="14" t="n"/>
      <c r="F50" s="17">
        <f>IFERROR($C50/2,0)</f>
        <v/>
      </c>
      <c r="G50" s="17">
        <f>IFERROR($D50/3,0)</f>
        <v/>
      </c>
      <c r="H50" s="18">
        <f>$G50-$F50</f>
        <v/>
      </c>
    </row>
    <row r="51" ht="15" customHeight="1">
      <c r="A51" s="11" t="inlineStr">
        <is>
          <t>D5.2</t>
        </is>
      </c>
      <c r="B51" s="12" t="inlineStr">
        <is>
          <t>Demande de cadrage</t>
        </is>
      </c>
      <c r="C51" s="14">
        <f>COUNTIF(Matrice!$C51:$F51,"&gt;0")</f>
        <v/>
      </c>
      <c r="D51" s="14">
        <f>COUNTIF(Matrice!$G51:$J51,"&gt;0")</f>
        <v/>
      </c>
      <c r="E51" s="14" t="n"/>
      <c r="F51" s="17">
        <f>IFERROR($C51/2,0)</f>
        <v/>
      </c>
      <c r="G51" s="17">
        <f>IFERROR($D51/3,0)</f>
        <v/>
      </c>
      <c r="H51" s="18">
        <f>$G51-$F51</f>
        <v/>
      </c>
    </row>
    <row r="52" ht="15" customHeight="1">
      <c r="A52" s="11" t="inlineStr">
        <is>
          <t>T1.1</t>
        </is>
      </c>
      <c r="B52" s="12" t="inlineStr">
        <is>
          <t>Ecart discours-pratique</t>
        </is>
      </c>
      <c r="C52" s="14">
        <f>COUNTIF(Matrice!$C52:$F52,"&gt;0")</f>
        <v/>
      </c>
      <c r="D52" s="14">
        <f>COUNTIF(Matrice!$G52:$J52,"&gt;0")</f>
        <v/>
      </c>
      <c r="E52" s="14" t="n"/>
      <c r="F52" s="17">
        <f>IFERROR($C52/2,0)</f>
        <v/>
      </c>
      <c r="G52" s="17">
        <f>IFERROR($D52/3,0)</f>
        <v/>
      </c>
      <c r="H52" s="18">
        <f>$G52-$F52</f>
        <v/>
      </c>
    </row>
    <row r="53" ht="15" customHeight="1">
      <c r="A53" s="11" t="inlineStr">
        <is>
          <t>T1.2</t>
        </is>
      </c>
      <c r="B53" s="12" t="inlineStr">
        <is>
          <t>Ecart junior-manager</t>
        </is>
      </c>
      <c r="C53" s="14">
        <f>COUNTIF(Matrice!$C53:$F53,"&gt;0")</f>
        <v/>
      </c>
      <c r="D53" s="14">
        <f>COUNTIF(Matrice!$G53:$J53,"&gt;0")</f>
        <v/>
      </c>
      <c r="E53" s="14" t="n"/>
      <c r="F53" s="17">
        <f>IFERROR($C53/2,0)</f>
        <v/>
      </c>
      <c r="G53" s="17">
        <f>IFERROR($D53/3,0)</f>
        <v/>
      </c>
      <c r="H53" s="18">
        <f>$G53-$F53</f>
        <v/>
      </c>
    </row>
    <row r="54" ht="15" customHeight="1">
      <c r="A54" s="11" t="inlineStr">
        <is>
          <t>T2.1</t>
        </is>
      </c>
      <c r="B54" s="12" t="inlineStr">
        <is>
          <t>Prospective du metier</t>
        </is>
      </c>
      <c r="C54" s="14">
        <f>COUNTIF(Matrice!$C54:$F54,"&gt;0")</f>
        <v/>
      </c>
      <c r="D54" s="14">
        <f>COUNTIF(Matrice!$G54:$J54,"&gt;0")</f>
        <v/>
      </c>
      <c r="E54" s="14" t="n"/>
      <c r="F54" s="17">
        <f>IFERROR($C54/2,0)</f>
        <v/>
      </c>
      <c r="G54" s="17">
        <f>IFERROR($D54/3,0)</f>
        <v/>
      </c>
      <c r="H54" s="18">
        <f>$G54-$F54</f>
        <v/>
      </c>
    </row>
    <row r="55" ht="15" customHeight="1">
      <c r="A55" s="11" t="inlineStr">
        <is>
          <t>T2.2</t>
        </is>
      </c>
      <c r="B55" s="12" t="inlineStr">
        <is>
          <t>Recommandation spontanee</t>
        </is>
      </c>
      <c r="C55" s="14">
        <f>COUNTIF(Matrice!$C55:$F55,"&gt;0")</f>
        <v/>
      </c>
      <c r="D55" s="14">
        <f>COUNTIF(Matrice!$G55:$J55,"&gt;0")</f>
        <v/>
      </c>
      <c r="E55" s="14" t="n"/>
      <c r="F55" s="17">
        <f>IFERROR($C55/2,0)</f>
        <v/>
      </c>
      <c r="G55" s="17">
        <f>IFERROR($D55/3,0)</f>
        <v/>
      </c>
      <c r="H55" s="18">
        <f>$G55-$F55</f>
        <v/>
      </c>
    </row>
    <row r="56" ht="15" customHeight="1">
      <c r="A56" s="11" t="inlineStr">
        <is>
          <t>T3.1</t>
        </is>
      </c>
      <c r="B56" s="12" t="inlineStr">
        <is>
          <t>Code emergent 1</t>
        </is>
      </c>
      <c r="C56" s="14">
        <f>COUNTIF(Matrice!$C56:$F56,"&gt;0")</f>
        <v/>
      </c>
      <c r="D56" s="14">
        <f>COUNTIF(Matrice!$G56:$J56,"&gt;0")</f>
        <v/>
      </c>
      <c r="E56" s="14" t="n"/>
      <c r="F56" s="17">
        <f>IFERROR($C56/2,0)</f>
        <v/>
      </c>
      <c r="G56" s="17">
        <f>IFERROR($D56/3,0)</f>
        <v/>
      </c>
      <c r="H56" s="18">
        <f>$G56-$F56</f>
        <v/>
      </c>
    </row>
    <row r="57" ht="15" customHeight="1">
      <c r="A57" s="11" t="inlineStr">
        <is>
          <t>T3.2</t>
        </is>
      </c>
      <c r="B57" s="12" t="inlineStr">
        <is>
          <t>Code emergent 2</t>
        </is>
      </c>
      <c r="C57" s="14">
        <f>COUNTIF(Matrice!$C57:$F57,"&gt;0")</f>
        <v/>
      </c>
      <c r="D57" s="14">
        <f>COUNTIF(Matrice!$G57:$J57,"&gt;0")</f>
        <v/>
      </c>
      <c r="E57" s="14" t="n"/>
      <c r="F57" s="17">
        <f>IFERROR($C57/2,0)</f>
        <v/>
      </c>
      <c r="G57" s="17">
        <f>IFERROR($D57/3,0)</f>
        <v/>
      </c>
      <c r="H57" s="18">
        <f>$G57-$F57</f>
        <v/>
      </c>
    </row>
    <row r="58" ht="15" customHeight="1">
      <c r="A58" s="11" t="inlineStr">
        <is>
          <t>T3.3</t>
        </is>
      </c>
      <c r="B58" s="12" t="inlineStr">
        <is>
          <t>Code emergent 3</t>
        </is>
      </c>
      <c r="C58" s="14">
        <f>COUNTIF(Matrice!$C58:$F58,"&gt;0")</f>
        <v/>
      </c>
      <c r="D58" s="14">
        <f>COUNTIF(Matrice!$G58:$J58,"&gt;0")</f>
        <v/>
      </c>
      <c r="E58" s="14" t="n"/>
      <c r="F58" s="17">
        <f>IFERROR($C58/2,0)</f>
        <v/>
      </c>
      <c r="G58" s="17">
        <f>IFERROR($D58/3,0)</f>
        <v/>
      </c>
      <c r="H58" s="18">
        <f>$G58-$F58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tabSelected="1" zoomScaleNormal="100" workbookViewId="0">
      <selection activeCell="A9" sqref="A9"/>
    </sheetView>
    <sheetView workbookViewId="1">
      <selection activeCell="A1" sqref="A1"/>
    </sheetView>
  </sheetViews>
  <sheetFormatPr baseColWidth="10" defaultColWidth="8.6640625" defaultRowHeight="15"/>
  <cols>
    <col width="8" customWidth="1" min="1" max="1"/>
    <col width="14" customWidth="1" min="2" max="2"/>
    <col width="26" customWidth="1" min="3" max="4"/>
    <col width="70" customWidth="1" min="5" max="5"/>
  </cols>
  <sheetData>
    <row r="1" ht="24" customHeight="1">
      <c r="A1" s="1" t="inlineStr">
        <is>
          <t>Suivi de la saturation theorique</t>
        </is>
      </c>
      <c r="B1" s="2" t="n"/>
      <c r="C1" s="2" t="n"/>
      <c r="D1" s="2" t="n"/>
      <c r="E1" s="2" t="n"/>
    </row>
    <row r="2" ht="15" customHeight="1">
      <c r="A2" s="3" t="inlineStr">
        <is>
          <t>Renseigner la colonne Rang selon l'ordre reel de passation des entretiens, puis lire le nombre de codes distincts. La saturation est atteinte quand un entretien n'apporte plus de code inedit.</t>
        </is>
      </c>
    </row>
    <row r="4" ht="30" customHeight="1">
      <c r="A4" s="6" t="inlineStr">
        <is>
          <t>Rang de passation</t>
        </is>
      </c>
      <c r="B4" s="6" t="inlineStr">
        <is>
          <t>Repondant</t>
        </is>
      </c>
      <c r="C4" s="6" t="inlineStr">
        <is>
          <t>Codes distincts mobilises</t>
        </is>
      </c>
      <c r="D4" s="6" t="inlineStr">
        <is>
          <t>Codes nouveaux apportes</t>
        </is>
      </c>
      <c r="E4" s="6" t="inlineStr">
        <is>
          <t>Commentaire</t>
        </is>
      </c>
    </row>
    <row r="5" ht="15" customHeight="1">
      <c r="A5" s="14" t="n">
        <v>1</v>
      </c>
      <c r="B5" s="14" t="inlineStr">
        <is>
          <t>J1</t>
        </is>
      </c>
      <c r="C5" s="14">
        <f>COUNTIF(Matrice!C$5:C$58,"&gt;0")</f>
        <v/>
      </c>
      <c r="D5" s="19" t="n">
        <v>27</v>
      </c>
      <c r="E5" s="7" t="inlineStr">
        <is>
          <t>Entretien d'ouverture. Fait apparaître l'essentiel de la grille : les cinq axes sont mobilisés dès le premier récit.</t>
        </is>
      </c>
    </row>
    <row r="6" ht="15" customHeight="1">
      <c r="A6" s="14" t="n">
        <v>2</v>
      </c>
      <c r="B6" s="14" t="inlineStr">
        <is>
          <t>E1</t>
        </is>
      </c>
      <c r="C6" s="14">
        <f>COUNTIF(Matrice!G$5:G$58,"&gt;0")</f>
        <v/>
      </c>
      <c r="D6" s="19" t="n">
        <v>11</v>
      </c>
      <c r="E6" s="7" t="inlineStr">
        <is>
          <t>Premier encadrant. Apporte la position de contrôle : vertu formatrice des tâches ingrates, adaptation de la revue après incident, écart entre positions.</t>
        </is>
      </c>
    </row>
    <row r="7" ht="15" customHeight="1">
      <c r="A7" s="14" t="n">
        <v>3</v>
      </c>
      <c r="B7" s="14" t="inlineStr">
        <is>
          <t>J2</t>
        </is>
      </c>
      <c r="C7" s="14">
        <f>COUNTIF(Matrice!D$5:D$58,"&gt;0")</f>
        <v/>
      </c>
      <c r="D7" s="19" t="n">
        <v>4</v>
      </c>
      <c r="E7" s="7" t="inlineStr">
        <is>
          <t>Second junior. Confirme sans ajouter : la grille est stabilisée à ce rang.</t>
        </is>
      </c>
    </row>
    <row r="8" ht="15" customHeight="1">
      <c r="A8" s="14" t="n">
        <v>4</v>
      </c>
      <c r="B8" s="14" t="inlineStr">
        <is>
          <t>E2</t>
        </is>
      </c>
      <c r="C8" s="14">
        <f>COUNTIF(Matrice!H$5:H$58,"&gt;0")</f>
        <v/>
      </c>
      <c r="D8" s="19" t="n">
        <v>2</v>
      </c>
      <c r="E8" s="7" t="inlineStr">
        <is>
          <t>Associé. Deux codes inédits seulement, dont la transparence assumée vis-à-vis du client, isolée dans le corpus.</t>
        </is>
      </c>
    </row>
    <row r="9" ht="15" customHeight="1">
      <c r="A9" s="14" t="n">
        <v>5</v>
      </c>
      <c r="B9" s="14" t="inlineStr">
        <is>
          <t>E3</t>
        </is>
      </c>
      <c r="C9" s="14">
        <f>COUNTIF(Matrice!I$5:I$58,"&gt;0")</f>
        <v/>
      </c>
      <c r="D9" s="19" t="n">
        <v>4</v>
      </c>
      <c r="E9" s="7" t="inlineStr">
        <is>
          <t>Consultant senior en contexte réglementaire strict. Quatre codes inédits, tous liés à la responsabilité et à la crédibilité : la saturation n'est pas atteinte.</t>
        </is>
      </c>
    </row>
    <row r="10" ht="15" customHeight="1">
      <c r="A10" s="14" t="n"/>
      <c r="B10" s="14" t="n"/>
      <c r="C10" s="14" t="n"/>
      <c r="D10" s="19" t="n"/>
      <c r="E10" s="7" t="n"/>
    </row>
    <row r="11" ht="15" customHeight="1">
      <c r="A11" s="14" t="n"/>
      <c r="B11" s="14" t="inlineStr">
        <is>
          <t>Total de codes mobilisés</t>
        </is>
      </c>
      <c r="C11" s="14" t="n">
        <v>48</v>
      </c>
      <c r="D11" s="19" t="n"/>
      <c r="E11" s="7" t="inlineStr">
        <is>
          <t>Sur les 55 codes de la grille. Six codes ne sont mobilisés par personne, dont B3.2 (appauvrissement de l'interaction junior-encadrant), hypothèse que le corpus contredit.</t>
        </is>
      </c>
    </row>
    <row r="12" ht="15" customHeight="1">
      <c r="A12" s="14" t="n"/>
      <c r="B12" s="14" t="n"/>
      <c r="C12" s="14" t="n"/>
      <c r="D12" s="19" t="n"/>
      <c r="E12" s="7" t="n"/>
    </row>
    <row r="15" ht="15" customHeight="1">
      <c r="A15" s="3" t="inlineStr">
        <is>
          <t>Colonne 3 : calculee. Colonne 4 : a saisir apres codage de l'entretien.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2026-09-02T12:40:08Z</dcterms:created>
  <dcterms:modified xmlns:dcterms="http://purl.org/dc/terms/" xmlns:xsi="http://www.w3.org/2001/XMLSchema-instance" xsi:type="dcterms:W3CDTF">2026-09-07T16:09:49Z</dcterms:modified>
  <cp:lastModifiedBy>Arthur Saunier</cp:lastModifiedBy>
  <cp:revision>0</cp:revision>
</cp:coreProperties>
</file>